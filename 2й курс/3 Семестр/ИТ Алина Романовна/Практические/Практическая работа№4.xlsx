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zar\Documents\study\2й курс\ИТ Алина Романовна\"/>
    </mc:Choice>
  </mc:AlternateContent>
  <xr:revisionPtr revIDLastSave="0" documentId="13_ncr:1_{8254890D-AE5F-462A-916F-06271B571AB2}" xr6:coauthVersionLast="47" xr6:coauthVersionMax="47" xr10:uidLastSave="{00000000-0000-0000-0000-000000000000}"/>
  <bookViews>
    <workbookView xWindow="-120" yWindow="-120" windowWidth="29040" windowHeight="15720" xr2:uid="{61ABCA80-1BB3-425A-A6EB-D9AD488B38E3}"/>
  </bookViews>
  <sheets>
    <sheet name="Лист1" sheetId="1" r:id="rId1"/>
  </sheets>
  <definedNames>
    <definedName name="_xlnm._FilterDatabase" localSheetId="0" hidden="1">Лист1!$H$1:$K$9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 a="1"/>
  <c r="D2" i="1" s="1"/>
  <c r="E2" i="1" s="1" a="1"/>
  <c r="E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<sst xmlns="http://schemas.openxmlformats.org/spreadsheetml/2006/main" count="35" uniqueCount="29">
  <si>
    <t>Факультет</t>
  </si>
  <si>
    <t>Количество студентов на факультете</t>
  </si>
  <si>
    <t>Количество студентов, прошедших тестирование</t>
  </si>
  <si>
    <t>% студентов, прошедших тестирование</t>
  </si>
  <si>
    <t>Результат факультета</t>
  </si>
  <si>
    <t xml:space="preserve"> математики</t>
  </si>
  <si>
    <t xml:space="preserve"> физики</t>
  </si>
  <si>
    <t xml:space="preserve"> информатики</t>
  </si>
  <si>
    <t xml:space="preserve"> химии</t>
  </si>
  <si>
    <t xml:space="preserve"> биологии</t>
  </si>
  <si>
    <t xml:space="preserve"> экономики</t>
  </si>
  <si>
    <t xml:space="preserve">Юридический </t>
  </si>
  <si>
    <t xml:space="preserve">Медицинский </t>
  </si>
  <si>
    <t xml:space="preserve">Филологический </t>
  </si>
  <si>
    <t xml:space="preserve">Исторический </t>
  </si>
  <si>
    <t>Товар</t>
  </si>
  <si>
    <t>Дата</t>
  </si>
  <si>
    <t>Количество</t>
  </si>
  <si>
    <t>Покупатель</t>
  </si>
  <si>
    <t>Мышь</t>
  </si>
  <si>
    <t>Иванов И.И.</t>
  </si>
  <si>
    <t>Ноутбук</t>
  </si>
  <si>
    <t>Петрова А.А.</t>
  </si>
  <si>
    <t>Сидоров В.В.</t>
  </si>
  <si>
    <t>Монитор</t>
  </si>
  <si>
    <t>Козлова Д.Д.</t>
  </si>
  <si>
    <t>Принтер</t>
  </si>
  <si>
    <t>Сканер</t>
  </si>
  <si>
    <t>Флешка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</si>
</sst>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</cellXfs>
  <cellStyles count="1">
    <cellStyle name="Обычный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9AF28-A0CE-432F-A07C-8C1A14567926}">
  <dimension ref="A1:K11"/>
  <sheetViews>
    <sheetView tabSelected="1" zoomScale="115" zoomScaleNormal="115" workbookViewId="0">
      <selection activeCell="I13" sqref="I13"/>
    </sheetView>
  </sheetViews>
  <sheetFormatPr defaultColWidth="15.85546875" defaultRowHeight="15" x14ac:dyDescent="0.25"/>
  <cols>
    <col min="1" max="1" width="16.7109375" style="1" customWidth="1"/>
    <col min="2" max="2" width="14.7109375" style="1" customWidth="1"/>
    <col min="3" max="3" width="15" style="1" customWidth="1"/>
    <col min="4" max="4" width="13.85546875" style="4" bestFit="1" customWidth="1"/>
    <col min="5" max="5" width="14.140625" style="1" customWidth="1"/>
    <col min="6" max="16384" width="15.85546875" style="1"/>
  </cols>
  <sheetData>
    <row r="1" spans="1:11" ht="60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H1" s="5" t="s">
        <v>15</v>
      </c>
      <c r="I1" s="5" t="s">
        <v>16</v>
      </c>
      <c r="J1" s="5" t="s">
        <v>17</v>
      </c>
      <c r="K1" s="5" t="s">
        <v>18</v>
      </c>
    </row>
    <row r="2" spans="1:11" x14ac:dyDescent="0.25">
      <c r="A2" s="1" t="s">
        <v>5</v>
      </c>
      <c r="B2" s="1">
        <v>1868</v>
      </c>
      <c r="C2" s="1">
        <v>1830</v>
      </c>
      <c r="D2" s="4" cm="1">
        <f t="array" ref="D2:D11">C2:C11/B2:B11</f>
        <v>0.97965738758029974</v>
      </c>
      <c r="E2" s="1" t="str" cm="1">
        <f t="array" ref="E2:E11">IF(D2:D11&gt;95%,"Пройдено","Не пройдено")</f>
        <v>Пройдено</v>
      </c>
      <c r="H2" s="6" t="s">
        <v>19</v>
      </c>
      <c r="I2" s="7">
        <v>45762</v>
      </c>
      <c r="J2" s="6">
        <v>12</v>
      </c>
      <c r="K2" s="6" t="s">
        <v>20</v>
      </c>
    </row>
    <row r="3" spans="1:11" x14ac:dyDescent="0.25">
      <c r="A3" s="1" t="s">
        <v>6</v>
      </c>
      <c r="B3" s="1">
        <v>2940</v>
      </c>
      <c r="C3" s="1">
        <v>2924</v>
      </c>
      <c r="D3" s="4">
        <v>0.99455782312925167</v>
      </c>
      <c r="E3" s="1" t="str">
        <v>Пройдено</v>
      </c>
      <c r="H3" s="6" t="s">
        <v>21</v>
      </c>
      <c r="I3" s="7">
        <v>45782</v>
      </c>
      <c r="J3" s="6">
        <v>5</v>
      </c>
      <c r="K3" s="6" t="s">
        <v>22</v>
      </c>
    </row>
    <row r="4" spans="1:11" x14ac:dyDescent="0.25">
      <c r="A4" s="1" t="s">
        <v>7</v>
      </c>
      <c r="B4" s="1">
        <v>2750</v>
      </c>
      <c r="C4" s="1">
        <v>2640</v>
      </c>
      <c r="D4" s="4">
        <v>0.96</v>
      </c>
      <c r="E4" s="1" t="str">
        <v>Пройдено</v>
      </c>
      <c r="H4" s="6" t="s">
        <v>26</v>
      </c>
      <c r="I4" s="7">
        <v>45797</v>
      </c>
      <c r="J4" s="6">
        <v>18</v>
      </c>
      <c r="K4" s="6" t="s">
        <v>23</v>
      </c>
    </row>
    <row r="5" spans="1:11" x14ac:dyDescent="0.25">
      <c r="A5" s="1" t="s">
        <v>8</v>
      </c>
      <c r="B5" s="1">
        <v>1761</v>
      </c>
      <c r="C5" s="1">
        <v>1741</v>
      </c>
      <c r="D5" s="4">
        <v>0.98864281658148778</v>
      </c>
      <c r="E5" s="1" t="str">
        <v>Пройдено</v>
      </c>
      <c r="H5" s="6" t="s">
        <v>24</v>
      </c>
      <c r="I5" s="7">
        <v>45818</v>
      </c>
      <c r="J5" s="6">
        <v>15</v>
      </c>
      <c r="K5" s="6" t="s">
        <v>25</v>
      </c>
    </row>
    <row r="6" spans="1:11" x14ac:dyDescent="0.25">
      <c r="A6" s="1" t="s">
        <v>9</v>
      </c>
      <c r="B6" s="1">
        <v>1594</v>
      </c>
      <c r="C6" s="1">
        <v>1341</v>
      </c>
      <c r="D6" s="4">
        <v>0.84127979924717688</v>
      </c>
      <c r="E6" s="1" t="str">
        <v>Не пройдено</v>
      </c>
      <c r="H6" s="6" t="s">
        <v>26</v>
      </c>
      <c r="I6" s="7">
        <v>45833</v>
      </c>
      <c r="J6" s="6">
        <v>3</v>
      </c>
      <c r="K6" s="6" t="s">
        <v>20</v>
      </c>
    </row>
    <row r="7" spans="1:11" x14ac:dyDescent="0.25">
      <c r="A7" s="1" t="s">
        <v>10</v>
      </c>
      <c r="B7" s="1">
        <v>2458</v>
      </c>
      <c r="C7" s="1">
        <v>2114</v>
      </c>
      <c r="D7" s="4">
        <v>0.8600488201790073</v>
      </c>
      <c r="E7" s="1" t="str">
        <v>Не пройдено</v>
      </c>
      <c r="H7" s="6" t="s">
        <v>26</v>
      </c>
      <c r="I7" s="7">
        <v>45850</v>
      </c>
      <c r="J7" s="6">
        <v>11</v>
      </c>
      <c r="K7" s="6" t="s">
        <v>22</v>
      </c>
    </row>
    <row r="8" spans="1:11" x14ac:dyDescent="0.25">
      <c r="A8" s="1" t="s">
        <v>11</v>
      </c>
      <c r="B8" s="1">
        <v>2757</v>
      </c>
      <c r="C8" s="1">
        <v>2248</v>
      </c>
      <c r="D8" s="4">
        <v>0.81537903518317012</v>
      </c>
      <c r="E8" s="1" t="str">
        <v>Не пройдено</v>
      </c>
      <c r="H8" s="6" t="s">
        <v>27</v>
      </c>
      <c r="I8" s="7">
        <v>45887</v>
      </c>
      <c r="J8" s="6">
        <v>7</v>
      </c>
      <c r="K8" s="6" t="s">
        <v>23</v>
      </c>
    </row>
    <row r="9" spans="1:11" x14ac:dyDescent="0.25">
      <c r="A9" s="1" t="s">
        <v>12</v>
      </c>
      <c r="B9" s="1">
        <v>1052</v>
      </c>
      <c r="C9" s="1">
        <v>1000</v>
      </c>
      <c r="D9" s="4">
        <v>0.95057034220532322</v>
      </c>
      <c r="E9" s="1" t="str">
        <v>Пройдено</v>
      </c>
      <c r="H9" s="6" t="s">
        <v>28</v>
      </c>
      <c r="I9" s="7">
        <v>45932</v>
      </c>
      <c r="J9" s="6">
        <v>20</v>
      </c>
      <c r="K9" s="6" t="s">
        <v>25</v>
      </c>
    </row>
    <row r="10" spans="1:11" x14ac:dyDescent="0.25">
      <c r="A10" s="1" t="s">
        <v>14</v>
      </c>
      <c r="B10" s="1">
        <v>1660</v>
      </c>
      <c r="C10" s="1">
        <v>1337</v>
      </c>
      <c r="D10" s="4">
        <v>0.805421686746988</v>
      </c>
      <c r="E10" s="1" t="str">
        <v>Не пройдено</v>
      </c>
    </row>
    <row r="11" spans="1:11" x14ac:dyDescent="0.25">
      <c r="A11" s="1" t="s">
        <v>13</v>
      </c>
      <c r="B11" s="1">
        <v>2222</v>
      </c>
      <c r="C11" s="1">
        <v>1971</v>
      </c>
      <c r="D11" s="4">
        <v>0.88703870387038708</v>
      </c>
      <c r="E11" s="1" t="str">
        <v>Не пройдено</v>
      </c>
    </row>
  </sheetData>
  <conditionalFormatting sqref="E1:E1048576">
    <cfRule type="containsText" dxfId="3" priority="1" operator="containsText" text="Не">
      <formula>NOT(ISERROR(SEARCH("Не",E1)))</formula>
    </cfRule>
    <cfRule type="containsText" dxfId="2" priority="2" operator="containsText" text="Пройдено">
      <formula>NOT(ISERROR(SEARCH("Пройдено",E1)))</formula>
    </cfRule>
    <cfRule type="containsText" dxfId="1" priority="3" operator="containsText" text="Не пройдено">
      <formula>NOT(ISERROR(SEARCH("Не пройдено",E1)))</formula>
    </cfRule>
    <cfRule type="containsText" dxfId="0" priority="4" operator="containsText" text="Пройдено ">
      <formula>NOT(ISERROR(SEARCH("Пройдено ",E1)))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nazarbragin228@gmail.com</dc:creator>
  <cp:lastModifiedBy>nazarbragin228@gmail.com</cp:lastModifiedBy>
  <dcterms:created xsi:type="dcterms:W3CDTF">2025-10-22T08:47:00Z</dcterms:created>
  <dcterms:modified xsi:type="dcterms:W3CDTF">2025-11-03T11:24:56Z</dcterms:modified>
</cp:coreProperties>
</file>