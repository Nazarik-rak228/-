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\Documents\study\2й курс\ИТ Алина Романовна\"/>
    </mc:Choice>
  </mc:AlternateContent>
  <xr:revisionPtr revIDLastSave="0" documentId="13_ncr:1_{80618931-CBC2-430A-B342-DE83F85DC64A}" xr6:coauthVersionLast="47" xr6:coauthVersionMax="47" xr10:uidLastSave="{00000000-0000-0000-0000-000000000000}"/>
  <bookViews>
    <workbookView xWindow="-120" yWindow="-120" windowWidth="29040" windowHeight="15720" xr2:uid="{00B24D10-CD5D-4258-A8B3-AE61B75F5C9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G10" i="1" s="1"/>
  <c r="F8" i="1"/>
  <c r="F10" i="1" s="1"/>
  <c r="D8" i="1"/>
  <c r="D10" i="1" s="1"/>
  <c r="E8" i="1"/>
  <c r="E10" i="1" s="1"/>
  <c r="C8" i="1"/>
  <c r="C10" i="1" s="1"/>
  <c r="B8" i="1"/>
  <c r="B10" i="1" s="1"/>
</calcChain>
</file>

<file path=xl/sharedStrings.xml><?xml version="1.0" encoding="utf-8"?>
<sst xmlns="http://schemas.openxmlformats.org/spreadsheetml/2006/main" count="16" uniqueCount="16">
  <si>
    <t>Продукты питания</t>
  </si>
  <si>
    <t>Обслуживание автомобиля</t>
  </si>
  <si>
    <t>Выплата кредитов</t>
  </si>
  <si>
    <t>Прочие расходы</t>
  </si>
  <si>
    <t>Январь</t>
  </si>
  <si>
    <t>Февраль</t>
  </si>
  <si>
    <t>Март</t>
  </si>
  <si>
    <t>Апрель</t>
  </si>
  <si>
    <t>Май</t>
  </si>
  <si>
    <t>Июнь</t>
  </si>
  <si>
    <t>Платежи (коммунальные и т.д.)</t>
  </si>
  <si>
    <t>Динамика расходов за первое полугодие (тыс.руб.)</t>
  </si>
  <si>
    <t>Ежемесячные расходы</t>
  </si>
  <si>
    <t>Ежемесячные доходы</t>
  </si>
  <si>
    <t xml:space="preserve">Накопления </t>
  </si>
  <si>
    <t>Тенденции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</si>
</sst>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Динамика</a:t>
            </a:r>
            <a:r>
              <a:rPr lang="ru-RU" b="1" baseline="0"/>
              <a:t> расходов за первое полугодие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Продукты питания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Лист1!$B$3:$G$3</c:f>
              <c:numCache>
                <c:formatCode>General</c:formatCode>
                <c:ptCount val="6"/>
                <c:pt idx="0">
                  <c:v>6.25</c:v>
                </c:pt>
                <c:pt idx="1">
                  <c:v>13.7</c:v>
                </c:pt>
                <c:pt idx="2">
                  <c:v>15</c:v>
                </c:pt>
                <c:pt idx="3">
                  <c:v>5.6</c:v>
                </c:pt>
                <c:pt idx="4">
                  <c:v>13.2</c:v>
                </c:pt>
                <c:pt idx="5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B-450C-9C30-3A0A3A0F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81316159"/>
        <c:axId val="1981315327"/>
      </c:barChart>
      <c:lineChart>
        <c:grouping val="standard"/>
        <c:varyColors val="0"/>
        <c:ser>
          <c:idx val="1"/>
          <c:order val="1"/>
          <c:tx>
            <c:strRef>
              <c:f>Лист1!$A$4</c:f>
              <c:strCache>
                <c:ptCount val="1"/>
                <c:pt idx="0">
                  <c:v>Платежи (коммунальные и т.д.)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Лист1!$B$4:$G$4</c:f>
              <c:numCache>
                <c:formatCode>General</c:formatCode>
                <c:ptCount val="6"/>
                <c:pt idx="0">
                  <c:v>6.8</c:v>
                </c:pt>
                <c:pt idx="1">
                  <c:v>6.2</c:v>
                </c:pt>
                <c:pt idx="2">
                  <c:v>6</c:v>
                </c:pt>
                <c:pt idx="3">
                  <c:v>5.9</c:v>
                </c:pt>
                <c:pt idx="4">
                  <c:v>5.2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B-450C-9C30-3A0A3A0FACA9}"/>
            </c:ext>
          </c:extLst>
        </c:ser>
        <c:ser>
          <c:idx val="2"/>
          <c:order val="2"/>
          <c:tx>
            <c:strRef>
              <c:f>Лист1!$A$5</c:f>
              <c:strCache>
                <c:ptCount val="1"/>
                <c:pt idx="0">
                  <c:v>Обслуживание автомобиля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Лист1!$B$5:$G$5</c:f>
              <c:numCache>
                <c:formatCode>General</c:formatCode>
                <c:ptCount val="6"/>
                <c:pt idx="0">
                  <c:v>5.2</c:v>
                </c:pt>
                <c:pt idx="1">
                  <c:v>6.6</c:v>
                </c:pt>
                <c:pt idx="2">
                  <c:v>4.3</c:v>
                </c:pt>
                <c:pt idx="3">
                  <c:v>4.5999999999999996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9B-450C-9C30-3A0A3A0FACA9}"/>
            </c:ext>
          </c:extLst>
        </c:ser>
        <c:ser>
          <c:idx val="3"/>
          <c:order val="3"/>
          <c:tx>
            <c:strRef>
              <c:f>Лист1!$A$6</c:f>
              <c:strCache>
                <c:ptCount val="1"/>
                <c:pt idx="0">
                  <c:v>Выплата кредитов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Лист1!$B$6:$G$6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9B-450C-9C30-3A0A3A0FACA9}"/>
            </c:ext>
          </c:extLst>
        </c:ser>
        <c:ser>
          <c:idx val="4"/>
          <c:order val="4"/>
          <c:tx>
            <c:strRef>
              <c:f>Лист1!$A$7</c:f>
              <c:strCache>
                <c:ptCount val="1"/>
                <c:pt idx="0">
                  <c:v>Прочие расходы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Лист1!$B$7:$G$7</c:f>
              <c:numCache>
                <c:formatCode>General</c:formatCode>
                <c:ptCount val="6"/>
                <c:pt idx="0">
                  <c:v>11</c:v>
                </c:pt>
                <c:pt idx="1">
                  <c:v>4</c:v>
                </c:pt>
                <c:pt idx="2">
                  <c:v>4.2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9B-450C-9C30-3A0A3A0F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1316159"/>
        <c:axId val="1981315327"/>
      </c:lineChart>
      <c:catAx>
        <c:axId val="198131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1315327"/>
        <c:crosses val="autoZero"/>
        <c:auto val="1"/>
        <c:lblAlgn val="ctr"/>
        <c:lblOffset val="100"/>
        <c:noMultiLvlLbl val="0"/>
      </c:catAx>
      <c:valAx>
        <c:axId val="19813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131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расходов за первое полугодие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Продукты питания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5F9-4A0A-B051-57E669691E1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5F9-4A0A-B051-57E669691E16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5F9-4A0A-B051-57E669691E1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5F9-4A0A-B051-57E669691E16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5F9-4A0A-B051-57E669691E16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5F9-4A0A-B051-57E669691E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Лист1!$B$3:$G$3</c:f>
              <c:numCache>
                <c:formatCode>General</c:formatCode>
                <c:ptCount val="6"/>
                <c:pt idx="0">
                  <c:v>6.25</c:v>
                </c:pt>
                <c:pt idx="1">
                  <c:v>13.7</c:v>
                </c:pt>
                <c:pt idx="2">
                  <c:v>15</c:v>
                </c:pt>
                <c:pt idx="3">
                  <c:v>5.6</c:v>
                </c:pt>
                <c:pt idx="4">
                  <c:v>13.2</c:v>
                </c:pt>
                <c:pt idx="5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4A0A-B051-57E669691E16}"/>
            </c:ext>
          </c:extLst>
        </c:ser>
        <c:ser>
          <c:idx val="1"/>
          <c:order val="1"/>
          <c:tx>
            <c:strRef>
              <c:f>Лист1!$A$4</c:f>
              <c:strCache>
                <c:ptCount val="1"/>
                <c:pt idx="0">
                  <c:v>Платежи (коммунальные и т.д.)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Лист1!$B$4:$G$4</c:f>
              <c:numCache>
                <c:formatCode>General</c:formatCode>
                <c:ptCount val="6"/>
                <c:pt idx="0">
                  <c:v>6.8</c:v>
                </c:pt>
                <c:pt idx="1">
                  <c:v>6.2</c:v>
                </c:pt>
                <c:pt idx="2">
                  <c:v>6</c:v>
                </c:pt>
                <c:pt idx="3">
                  <c:v>5.9</c:v>
                </c:pt>
                <c:pt idx="4">
                  <c:v>5.2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9-4A0A-B051-57E669691E16}"/>
            </c:ext>
          </c:extLst>
        </c:ser>
        <c:ser>
          <c:idx val="2"/>
          <c:order val="2"/>
          <c:tx>
            <c:strRef>
              <c:f>Лист1!$A$5</c:f>
              <c:strCache>
                <c:ptCount val="1"/>
                <c:pt idx="0">
                  <c:v>Обслуживание автомобиля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Лист1!$B$5:$G$5</c:f>
              <c:numCache>
                <c:formatCode>General</c:formatCode>
                <c:ptCount val="6"/>
                <c:pt idx="0">
                  <c:v>5.2</c:v>
                </c:pt>
                <c:pt idx="1">
                  <c:v>6.6</c:v>
                </c:pt>
                <c:pt idx="2">
                  <c:v>4.3</c:v>
                </c:pt>
                <c:pt idx="3">
                  <c:v>4.5999999999999996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F9-4A0A-B051-57E669691E16}"/>
            </c:ext>
          </c:extLst>
        </c:ser>
        <c:ser>
          <c:idx val="3"/>
          <c:order val="3"/>
          <c:tx>
            <c:strRef>
              <c:f>Лист1!$A$6</c:f>
              <c:strCache>
                <c:ptCount val="1"/>
                <c:pt idx="0">
                  <c:v>Выплата кредитов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Лист1!$B$6:$G$6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F9-4A0A-B051-57E669691E16}"/>
            </c:ext>
          </c:extLst>
        </c:ser>
        <c:ser>
          <c:idx val="4"/>
          <c:order val="4"/>
          <c:tx>
            <c:strRef>
              <c:f>Лист1!$A$7</c:f>
              <c:strCache>
                <c:ptCount val="1"/>
                <c:pt idx="0">
                  <c:v>Прочие расходы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Лист1!$B$7:$G$7</c:f>
              <c:numCache>
                <c:formatCode>General</c:formatCode>
                <c:ptCount val="6"/>
                <c:pt idx="0">
                  <c:v>11</c:v>
                </c:pt>
                <c:pt idx="1">
                  <c:v>4</c:v>
                </c:pt>
                <c:pt idx="2">
                  <c:v>4.2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F9-4A0A-B051-57E66969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383903"/>
        <c:axId val="106381823"/>
      </c:barChart>
      <c:catAx>
        <c:axId val="106383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381823"/>
        <c:crosses val="autoZero"/>
        <c:auto val="1"/>
        <c:lblAlgn val="ctr"/>
        <c:lblOffset val="100"/>
        <c:noMultiLvlLbl val="0"/>
      </c:catAx>
      <c:valAx>
        <c:axId val="10638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38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20785406574777"/>
          <c:y val="1.5834597192501468E-3"/>
          <c:w val="0.21706036745406826"/>
          <c:h val="0.3013489729194235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325000000000002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Лист1!$A$8</c:f>
              <c:strCache>
                <c:ptCount val="1"/>
                <c:pt idx="0">
                  <c:v>Ежемесячные расходы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18-4FB5-897E-646DF66E85CA}"/>
              </c:ext>
            </c:extLst>
          </c:dPt>
          <c:dPt>
            <c:idx val="1"/>
            <c:bubble3D val="0"/>
            <c:explosion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26-4164-9403-9C5B3A26E0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26-4164-9403-9C5B3A26E0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118-4FB5-897E-646DF66E85CA}"/>
              </c:ext>
            </c:extLst>
          </c:dPt>
          <c:dPt>
            <c:idx val="4"/>
            <c:bubble3D val="0"/>
            <c:explosion val="23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26-4164-9403-9C5B3A26E0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26-4164-9403-9C5B3A26E0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Лист1!$B$2:$G$2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Лист1!$B$8:$G$8</c:f>
              <c:numCache>
                <c:formatCode>General</c:formatCode>
                <c:ptCount val="6"/>
                <c:pt idx="0">
                  <c:v>32.25</c:v>
                </c:pt>
                <c:pt idx="1">
                  <c:v>34.5</c:v>
                </c:pt>
                <c:pt idx="2">
                  <c:v>32.5</c:v>
                </c:pt>
                <c:pt idx="3">
                  <c:v>21.1</c:v>
                </c:pt>
                <c:pt idx="4">
                  <c:v>36.4</c:v>
                </c:pt>
                <c:pt idx="5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8-4FB5-897E-646DF66E8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1">
          <a:lumMod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20</xdr:col>
      <xdr:colOff>387720</xdr:colOff>
      <xdr:row>6</xdr:row>
      <xdr:rowOff>325395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64EC78E-7625-46DA-8542-C7546CEA1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6</xdr:row>
      <xdr:rowOff>245744</xdr:rowOff>
    </xdr:from>
    <xdr:to>
      <xdr:col>22</xdr:col>
      <xdr:colOff>57150</xdr:colOff>
      <xdr:row>24</xdr:row>
      <xdr:rowOff>66674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83EDD4A-7662-47F9-85DC-9D59E933C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11</xdr:row>
      <xdr:rowOff>19050</xdr:rowOff>
    </xdr:from>
    <xdr:to>
      <xdr:col>6</xdr:col>
      <xdr:colOff>28575</xdr:colOff>
      <xdr:row>26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8C4BC07-1106-4BB8-9DC1-6F80F008C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A44D-4AB5-4F32-A354-6DC90B43ADD8}">
  <dimension ref="A1:H10"/>
  <sheetViews>
    <sheetView tabSelected="1" zoomScaleNormal="100" workbookViewId="0">
      <selection activeCell="H28" sqref="H28"/>
    </sheetView>
  </sheetViews>
  <sheetFormatPr defaultRowHeight="15" x14ac:dyDescent="0.25"/>
  <cols>
    <col min="1" max="1" width="22.85546875" customWidth="1"/>
    <col min="6" max="6" width="8.85546875" style="5"/>
    <col min="8" max="8" width="15.28515625" customWidth="1"/>
  </cols>
  <sheetData>
    <row r="1" spans="1:8" x14ac:dyDescent="0.25">
      <c r="A1" s="7" t="s">
        <v>11</v>
      </c>
      <c r="B1" s="7"/>
      <c r="C1" s="7"/>
      <c r="D1" s="7"/>
      <c r="E1" s="7"/>
      <c r="F1" s="7"/>
    </row>
    <row r="2" spans="1:8" ht="14.45" customHeight="1" x14ac:dyDescent="0.25">
      <c r="A2" s="1"/>
      <c r="B2" s="1" t="s">
        <v>4</v>
      </c>
      <c r="C2" s="1" t="s">
        <v>5</v>
      </c>
      <c r="D2" s="1" t="s">
        <v>6</v>
      </c>
      <c r="E2" s="1" t="s">
        <v>7</v>
      </c>
      <c r="F2" s="3" t="s">
        <v>8</v>
      </c>
      <c r="G2" s="3" t="s">
        <v>9</v>
      </c>
      <c r="H2" s="3" t="s">
        <v>15</v>
      </c>
    </row>
    <row r="3" spans="1:8" ht="25.5" customHeight="1" x14ac:dyDescent="0.25">
      <c r="A3" s="2" t="s">
        <v>0</v>
      </c>
      <c r="B3" s="2">
        <v>6.25</v>
      </c>
      <c r="C3" s="2">
        <v>13.7</v>
      </c>
      <c r="D3" s="2">
        <v>15</v>
      </c>
      <c r="E3" s="2">
        <v>5.6</v>
      </c>
      <c r="F3" s="4">
        <v>13.2</v>
      </c>
      <c r="G3" s="4">
        <v>11.1</v>
      </c>
    </row>
    <row r="4" spans="1:8" ht="42" customHeight="1" x14ac:dyDescent="0.25">
      <c r="A4" s="2" t="s">
        <v>10</v>
      </c>
      <c r="B4" s="2">
        <v>6.8</v>
      </c>
      <c r="C4" s="2">
        <v>6.2</v>
      </c>
      <c r="D4" s="2">
        <v>6</v>
      </c>
      <c r="E4" s="2">
        <v>5.9</v>
      </c>
      <c r="F4" s="4">
        <v>5.2</v>
      </c>
      <c r="G4" s="4">
        <v>2</v>
      </c>
    </row>
    <row r="5" spans="1:8" ht="30.75" customHeight="1" x14ac:dyDescent="0.25">
      <c r="A5" s="2" t="s">
        <v>1</v>
      </c>
      <c r="B5" s="2">
        <v>5.2</v>
      </c>
      <c r="C5" s="2">
        <v>6.6</v>
      </c>
      <c r="D5" s="2">
        <v>4.3</v>
      </c>
      <c r="E5" s="2">
        <v>4.5999999999999996</v>
      </c>
      <c r="F5" s="4">
        <v>3</v>
      </c>
      <c r="G5" s="4">
        <v>3</v>
      </c>
    </row>
    <row r="6" spans="1:8" ht="16.5" customHeight="1" x14ac:dyDescent="0.25">
      <c r="A6" s="2" t="s">
        <v>2</v>
      </c>
      <c r="B6" s="2">
        <v>3</v>
      </c>
      <c r="C6" s="2">
        <v>4</v>
      </c>
      <c r="D6" s="2">
        <v>3</v>
      </c>
      <c r="E6" s="2">
        <v>5</v>
      </c>
      <c r="F6" s="4">
        <v>3</v>
      </c>
      <c r="G6" s="4">
        <v>6</v>
      </c>
    </row>
    <row r="7" spans="1:8" ht="19.5" customHeight="1" x14ac:dyDescent="0.25">
      <c r="A7" s="2" t="s">
        <v>3</v>
      </c>
      <c r="B7" s="2">
        <v>11</v>
      </c>
      <c r="C7" s="2">
        <v>4</v>
      </c>
      <c r="D7" s="2">
        <v>4.2</v>
      </c>
      <c r="E7" s="2">
        <v>0</v>
      </c>
      <c r="F7" s="4">
        <v>12</v>
      </c>
      <c r="G7">
        <v>0</v>
      </c>
    </row>
    <row r="8" spans="1:8" ht="20.25" customHeight="1" x14ac:dyDescent="0.25">
      <c r="A8" s="6" t="s">
        <v>12</v>
      </c>
      <c r="B8" s="2">
        <f>B3+B4+B5+B6+B7</f>
        <v>32.25</v>
      </c>
      <c r="C8" s="2">
        <f>C3+C4+C5+C6+C7</f>
        <v>34.5</v>
      </c>
      <c r="D8" s="2">
        <f>+D3+D4+D5+D6+D7</f>
        <v>32.5</v>
      </c>
      <c r="E8" s="2">
        <f>E3+E4+E5+E6+E7</f>
        <v>21.1</v>
      </c>
      <c r="F8" s="4">
        <f>F3+F4+F5+F6+F7</f>
        <v>36.4</v>
      </c>
      <c r="G8" s="4">
        <f>G3+G4+G5+G6+G7</f>
        <v>22.1</v>
      </c>
    </row>
    <row r="9" spans="1:8" ht="18" customHeight="1" x14ac:dyDescent="0.25">
      <c r="A9" s="6" t="s">
        <v>13</v>
      </c>
      <c r="B9" s="2">
        <v>52.75</v>
      </c>
      <c r="C9" s="2">
        <v>39.25</v>
      </c>
      <c r="D9" s="2">
        <v>28.1</v>
      </c>
      <c r="E9" s="2">
        <v>17.75</v>
      </c>
      <c r="F9" s="4">
        <v>34</v>
      </c>
      <c r="G9" s="4">
        <v>25</v>
      </c>
    </row>
    <row r="10" spans="1:8" ht="15" customHeight="1" x14ac:dyDescent="0.25">
      <c r="A10" s="6" t="s">
        <v>14</v>
      </c>
      <c r="B10">
        <f t="shared" ref="B10:G10" si="0">B9-B8</f>
        <v>20.5</v>
      </c>
      <c r="C10">
        <f t="shared" si="0"/>
        <v>4.75</v>
      </c>
      <c r="D10">
        <f t="shared" si="0"/>
        <v>-4.3999999999999986</v>
      </c>
      <c r="E10">
        <f t="shared" si="0"/>
        <v>-3.3500000000000014</v>
      </c>
      <c r="F10" s="5">
        <f t="shared" si="0"/>
        <v>-2.3999999999999986</v>
      </c>
      <c r="G10" s="5">
        <f t="shared" si="0"/>
        <v>2.8999999999999986</v>
      </c>
    </row>
  </sheetData>
  <mergeCells count="1">
    <mergeCell ref="A1:F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low="1" xr2:uid="{31965393-F402-4C06-B1C4-AAC76B6DD81B}">
          <x14:colorSeries rgb="FF376092"/>
          <x14:colorNegative rgb="FFFF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Лист1!B10:G10</xm:f>
              <xm:sqref>H10</xm:sqref>
            </x14:sparkline>
          </x14:sparklines>
        </x14:sparklineGroup>
        <x14:sparklineGroup type="column" displayEmptyCellsAs="gap" low="1" xr2:uid="{21C284AD-C563-412D-90D5-E80528EBCC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Лист1!B9:G9</xm:f>
              <xm:sqref>H9</xm:sqref>
            </x14:sparkline>
          </x14:sparklines>
        </x14:sparklineGroup>
        <x14:sparklineGroup displayEmptyCellsAs="gap" high="1" low="1" xr2:uid="{F3732763-9881-43B9-B7BC-CC31E909D89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Лист1!B3:G3</xm:f>
              <xm:sqref>H3</xm:sqref>
            </x14:sparkline>
            <x14:sparkline>
              <xm:f>Лист1!B4:G4</xm:f>
              <xm:sqref>H4</xm:sqref>
            </x14:sparkline>
            <x14:sparkline>
              <xm:f>Лист1!B5:G5</xm:f>
              <xm:sqref>H5</xm:sqref>
            </x14:sparkline>
            <x14:sparkline>
              <xm:f>Лист1!B6:G6</xm:f>
              <xm:sqref>H6</xm:sqref>
            </x14:sparkline>
            <x14:sparkline>
              <xm:f>Лист1!B7:G7</xm:f>
              <xm:sqref>H7</xm:sqref>
            </x14:sparkline>
            <x14:sparkline>
              <xm:f>Лист1!B8:G8</xm:f>
              <xm:sqref>H8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nazarbragin228@gmail.com</cp:lastModifiedBy>
  <dcterms:created xsi:type="dcterms:W3CDTF">2025-11-17T12:12:43Z</dcterms:created>
  <dcterms:modified xsi:type="dcterms:W3CDTF">2025-11-19T07:29:04Z</dcterms:modified>
</cp:coreProperties>
</file>