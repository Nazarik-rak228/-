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ar\Documents\study\2й курс\ИТ Алина Романовна\Практические\"/>
    </mc:Choice>
  </mc:AlternateContent>
  <xr:revisionPtr revIDLastSave="0" documentId="13_ncr:1_{A8091305-3BFE-468F-8C98-098C0E1AA7E0}" xr6:coauthVersionLast="47" xr6:coauthVersionMax="47" xr10:uidLastSave="{00000000-0000-0000-0000-000000000000}"/>
  <bookViews>
    <workbookView xWindow="-120" yWindow="-120" windowWidth="29040" windowHeight="15720" activeTab="4" xr2:uid="{25D9C01F-56EF-4AD4-8024-87547CADA811}"/>
  </bookViews>
  <sheets>
    <sheet name="Лист1" sheetId="1" r:id="rId1"/>
    <sheet name="Лист2" sheetId="2" r:id="rId2"/>
    <sheet name="Лист3" sheetId="3" r:id="rId3"/>
    <sheet name="Лист4" sheetId="4" r:id="rId4"/>
    <sheet name="Расчет заработной платы." sheetId="5" r:id="rId5"/>
  </sheets>
  <definedNames>
    <definedName name="_xlnm._FilterDatabase" localSheetId="4" hidden="1">'Расчет заработной платы.'!$B$3:$B$10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5" l="1"/>
  <c r="B14" i="4"/>
  <c r="C14" i="4"/>
  <c r="E24" i="3"/>
  <c r="E22" i="3"/>
  <c r="B17" i="2"/>
  <c r="B6" i="2"/>
  <c r="B5" i="2"/>
  <c r="I1" i="1"/>
  <c r="B17" i="1"/>
  <c r="B3" i="1"/>
  <c r="D3" i="1"/>
  <c r="E23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4" i="3"/>
  <c r="E9" i="5"/>
  <c r="F9" i="5" s="1"/>
  <c r="G9" i="5" s="1"/>
  <c r="E8" i="5"/>
  <c r="F8" i="5" s="1"/>
  <c r="E6" i="5"/>
  <c r="F6" i="5" s="1"/>
  <c r="G6" i="5" s="1"/>
  <c r="E4" i="5"/>
  <c r="F4" i="5" s="1"/>
  <c r="G4" i="5" s="1"/>
  <c r="E5" i="5"/>
  <c r="F5" i="5" s="1"/>
  <c r="F7" i="5"/>
  <c r="G8" i="5" l="1"/>
  <c r="G5" i="5"/>
  <c r="F10" i="5"/>
  <c r="E10" i="5"/>
  <c r="G7" i="5"/>
  <c r="G10" i="5" s="1"/>
  <c r="B17" i="4"/>
  <c r="B16" i="4"/>
  <c r="C12" i="4"/>
  <c r="B12" i="4"/>
  <c r="C11" i="4"/>
  <c r="B11" i="4"/>
  <c r="C10" i="4"/>
  <c r="B10" i="4"/>
  <c r="B9" i="2"/>
  <c r="B8" i="2"/>
  <c r="B7" i="2"/>
  <c r="F10" i="1"/>
  <c r="D14" i="1"/>
  <c r="B18" i="1" l="1"/>
</calcChain>
</file>

<file path=xl/sharedStrings.xml><?xml version="1.0" encoding="utf-8"?>
<sst xmlns="http://schemas.openxmlformats.org/spreadsheetml/2006/main" count="107" uniqueCount="87">
  <si>
    <t>Доходы всего</t>
  </si>
  <si>
    <t>Расходы всего</t>
  </si>
  <si>
    <t>ЕСН</t>
  </si>
  <si>
    <t>амортизация НА</t>
  </si>
  <si>
    <t>материалы</t>
  </si>
  <si>
    <t>налоги</t>
  </si>
  <si>
    <t>налоги на дороги</t>
  </si>
  <si>
    <t>налог на имущество</t>
  </si>
  <si>
    <t>Расчет фирмы</t>
  </si>
  <si>
    <t>в т.ч.</t>
  </si>
  <si>
    <t>Собственное производство</t>
  </si>
  <si>
    <t>Прямые</t>
  </si>
  <si>
    <t>Прочие</t>
  </si>
  <si>
    <t>Субподрядные организации</t>
  </si>
  <si>
    <t>Зарплата</t>
  </si>
  <si>
    <t>обслуж. Банков</t>
  </si>
  <si>
    <t>амортизации ОС</t>
  </si>
  <si>
    <t>субпдряд</t>
  </si>
  <si>
    <t>всего</t>
  </si>
  <si>
    <t>прибыль</t>
  </si>
  <si>
    <t>прибыль (у.с.)</t>
  </si>
  <si>
    <t>курс 1 у.е.</t>
  </si>
  <si>
    <t>всего:</t>
  </si>
  <si>
    <t>услуги связ. с производством</t>
  </si>
  <si>
    <t>Процентная ставка (годовая)</t>
  </si>
  <si>
    <t>i</t>
  </si>
  <si>
    <t>число действия ренты (n)</t>
  </si>
  <si>
    <t>Внесенные раз в год платежи</t>
  </si>
  <si>
    <t>D</t>
  </si>
  <si>
    <t>Величина суммы на счете, рассчитаная по формуле</t>
  </si>
  <si>
    <t>Наименование</t>
  </si>
  <si>
    <t>Сумма</t>
  </si>
  <si>
    <t>шт.</t>
  </si>
  <si>
    <t>Ветчина</t>
  </si>
  <si>
    <t>Говядина вырезка</t>
  </si>
  <si>
    <t>Говядина зад</t>
  </si>
  <si>
    <t>Купаты</t>
  </si>
  <si>
    <t>Куры</t>
  </si>
  <si>
    <t>Крылья куриные</t>
  </si>
  <si>
    <t>Окорочка куриные</t>
  </si>
  <si>
    <t>Пельмени</t>
  </si>
  <si>
    <t>Печень говяжья</t>
  </si>
  <si>
    <t>Сардельки (сосиски)</t>
  </si>
  <si>
    <t>Свинина корейка</t>
  </si>
  <si>
    <t>Свинина зад.</t>
  </si>
  <si>
    <t>Сердце</t>
  </si>
  <si>
    <t>№ п/п</t>
  </si>
  <si>
    <t>Продукты и товары</t>
  </si>
  <si>
    <t>Код</t>
  </si>
  <si>
    <t>Единицы измерения</t>
  </si>
  <si>
    <t>Код по ИКЕИ</t>
  </si>
  <si>
    <t>Учетная цена      р.к</t>
  </si>
  <si>
    <t>Остаток на «01» июля 2004 г.</t>
  </si>
  <si>
    <t>Количество</t>
  </si>
  <si>
    <t>Бульон из кубика</t>
  </si>
  <si>
    <t>Колбаса с/к.</t>
  </si>
  <si>
    <t>Легкие</t>
  </si>
  <si>
    <t>кг.</t>
  </si>
  <si>
    <t>Инвестиции</t>
  </si>
  <si>
    <t>Вариант 1</t>
  </si>
  <si>
    <t>Вариант 2</t>
  </si>
  <si>
    <t>Период (n)</t>
  </si>
  <si>
    <t>Вариант 1 — Сумма проекта (расчет по формуле)</t>
  </si>
  <si>
    <t>Вариант 2 — Сумма проекта (расчет по формуле)</t>
  </si>
  <si>
    <t>Итого (после 3 лет)</t>
  </si>
  <si>
    <t>(расчет по формуле)</t>
  </si>
  <si>
    <t>Расчет заработной платы</t>
  </si>
  <si>
    <t>Фамилия, И.О.</t>
  </si>
  <si>
    <t>Полученный доход</t>
  </si>
  <si>
    <t>Налоговые вычеты</t>
  </si>
  <si>
    <t>Налогооблагаемый доход</t>
  </si>
  <si>
    <t>Сумма налога, НДФЛ</t>
  </si>
  <si>
    <t>К выплате</t>
  </si>
  <si>
    <t>Попов В.И.</t>
  </si>
  <si>
    <t>Богданов К.М.</t>
  </si>
  <si>
    <t>Батылин И.И.</t>
  </si>
  <si>
    <t>КОрнышев А.С.</t>
  </si>
  <si>
    <t>Шимберев А.А.</t>
  </si>
  <si>
    <t>Шпак-мак-бак Г.С.</t>
  </si>
  <si>
    <t>Итого</t>
  </si>
  <si>
    <t xml:space="preserve">нужная зарплата </t>
  </si>
  <si>
    <t>Итого по странице:</t>
  </si>
  <si>
    <t>На сумму фактически</t>
  </si>
  <si>
    <t>Общее количество единиц фактически</t>
  </si>
  <si>
    <t xml:space="preserve">Количество порядковых номеров </t>
  </si>
  <si>
    <t>Нужный ежегодный взнос (Вариант 1)</t>
  </si>
  <si>
    <t>Нужный ежегодный взнос (Вариант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</si>
</sst>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43" formatCode="_-* #,##0.00_-;\-* #,##0.00_-;_-* &quot;-&quot;??_-;_-@_-"/>
    <numFmt numFmtId="164" formatCode="#,##0.00\ &quot;₽&quot;"/>
    <numFmt numFmtId="165" formatCode="[$$-C09]#,##0.0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Buran USSR"/>
    </font>
    <font>
      <sz val="11"/>
      <color theme="3"/>
      <name val="Buran USS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7">
    <xf numFmtId="0" fontId="0" fillId="0" borderId="0" xfId="0"/>
    <xf numFmtId="0" fontId="0" fillId="0" borderId="0" xfId="0" applyAlignment="1">
      <alignment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vertical="center" wrapText="1"/>
    </xf>
    <xf numFmtId="43" fontId="0" fillId="0" borderId="0" xfId="1" applyFont="1"/>
    <xf numFmtId="9" fontId="0" fillId="0" borderId="0" xfId="0" applyNumberFormat="1" applyAlignment="1">
      <alignment horizontal="center"/>
    </xf>
    <xf numFmtId="165" fontId="0" fillId="0" borderId="0" xfId="0" applyNumberFormat="1"/>
    <xf numFmtId="8" fontId="0" fillId="0" borderId="0" xfId="0" applyNumberFormat="1"/>
    <xf numFmtId="2" fontId="0" fillId="0" borderId="0" xfId="0" applyNumberFormat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4" fillId="2" borderId="4" xfId="0" applyFont="1" applyFill="1" applyBorder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5" fillId="0" borderId="5" xfId="0" applyFont="1" applyBorder="1"/>
    <xf numFmtId="0" fontId="5" fillId="0" borderId="1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2" xfId="0" applyFont="1" applyFill="1" applyBorder="1"/>
    <xf numFmtId="0" fontId="4" fillId="2" borderId="3" xfId="0" applyFont="1" applyFill="1" applyBorder="1"/>
  </cellXfs>
  <cellStyles count="3">
    <cellStyle name="Обычный" xfId="0" builtinId="0"/>
    <cellStyle name="Обычный 2" xfId="2" xr:uid="{3D3A6DCF-DDAF-4646-99D4-7E6B4B97F248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Накопление на счёте при ежегодном взносе 1250 $ под 8 %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>
                  <a:tint val="77000"/>
                </a:schemeClr>
              </a:solidFill>
              <a:miter lim="800000"/>
            </a:ln>
            <a:effectLst>
              <a:glow rad="63500">
                <a:schemeClr val="accent1">
                  <a:tint val="77000"/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Лист2!$A$5:$A$9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AA-4C8C-B60D-8C4AB6359785}"/>
            </c:ext>
          </c:extLst>
        </c:ser>
        <c:ser>
          <c:idx val="1"/>
          <c:order val="1"/>
          <c:spPr>
            <a:noFill/>
            <a:ln w="9525" cap="flat" cmpd="sng" algn="ctr">
              <a:solidFill>
                <a:schemeClr val="accent1">
                  <a:shade val="76000"/>
                </a:schemeClr>
              </a:solidFill>
              <a:miter lim="800000"/>
            </a:ln>
            <a:effectLst>
              <a:glow rad="63500">
                <a:schemeClr val="accent1">
                  <a:shade val="76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25400" cap="rnd">
                <a:solidFill>
                  <a:schemeClr val="accent1">
                    <a:shade val="76000"/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Лист2!$B$5:$B$9</c:f>
              <c:numCache>
                <c:formatCode>[$$-C09]#\ ##0.00</c:formatCode>
                <c:ptCount val="5"/>
                <c:pt idx="0">
                  <c:v>1250.0000000000011</c:v>
                </c:pt>
                <c:pt idx="1">
                  <c:v>2600.0000000000018</c:v>
                </c:pt>
                <c:pt idx="2">
                  <c:v>4058.0000000000027</c:v>
                </c:pt>
                <c:pt idx="3">
                  <c:v>5632.6400000000049</c:v>
                </c:pt>
                <c:pt idx="4">
                  <c:v>7333.2512000000052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AA-4C8C-B60D-8C4AB6359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108370943"/>
        <c:axId val="1108368863"/>
      </c:barChart>
      <c:catAx>
        <c:axId val="11083709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8368863"/>
        <c:crosses val="autoZero"/>
        <c:auto val="1"/>
        <c:lblAlgn val="ctr"/>
        <c:lblOffset val="100"/>
        <c:noMultiLvlLbl val="0"/>
      </c:catAx>
      <c:valAx>
        <c:axId val="11083688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837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Сравнительная Диаграмма </a:t>
            </a:r>
          </a:p>
        </c:rich>
      </c:tx>
      <c:layout>
        <c:manualLayout>
          <c:xMode val="edge"/>
          <c:yMode val="edge"/>
          <c:x val="0.26825678040244971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Лист4!$A$16:$A$17</c:f>
              <c:strCache>
                <c:ptCount val="2"/>
                <c:pt idx="0">
                  <c:v>Нужный ежегодный взнос (Вариант 1)</c:v>
                </c:pt>
                <c:pt idx="1">
                  <c:v>Нужный ежегодный взнос (Вариант 2)</c:v>
                </c:pt>
              </c:strCache>
            </c:strRef>
          </c:cat>
          <c:val>
            <c:numRef>
              <c:f>Лист4!$B$16:$B$17</c:f>
              <c:numCache>
                <c:formatCode>General</c:formatCode>
                <c:ptCount val="2"/>
                <c:pt idx="0">
                  <c:v>529194.60814197594</c:v>
                </c:pt>
                <c:pt idx="1">
                  <c:v>581462.960809396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3-4600-8D78-58FD845E0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608335471"/>
        <c:axId val="608338351"/>
      </c:barChart>
      <c:catAx>
        <c:axId val="6083354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8338351"/>
        <c:crosses val="autoZero"/>
        <c:auto val="1"/>
        <c:lblAlgn val="ctr"/>
        <c:lblOffset val="100"/>
        <c:noMultiLvlLbl val="0"/>
      </c:catAx>
      <c:valAx>
        <c:axId val="6083383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833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2</xdr:row>
      <xdr:rowOff>11430</xdr:rowOff>
    </xdr:from>
    <xdr:to>
      <xdr:col>10</xdr:col>
      <xdr:colOff>335280</xdr:colOff>
      <xdr:row>16</xdr:row>
      <xdr:rowOff>11430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6F48863-DECA-433A-80A4-A810E1243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46653</xdr:colOff>
      <xdr:row>0</xdr:row>
      <xdr:rowOff>0</xdr:rowOff>
    </xdr:from>
    <xdr:to>
      <xdr:col>6</xdr:col>
      <xdr:colOff>254648</xdr:colOff>
      <xdr:row>12</xdr:row>
      <xdr:rowOff>31491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B2E08D-CA44-40BA-2A5E-708CED954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5731-D7B9-4D9C-AF71-74E053E8583A}">
  <dimension ref="A1:I25"/>
  <sheetViews>
    <sheetView workbookViewId="0">
      <selection activeCell="N18" sqref="N18"/>
    </sheetView>
  </sheetViews>
  <sheetFormatPr defaultRowHeight="15" x14ac:dyDescent="0.25"/>
  <cols>
    <col min="1" max="1" width="16.85546875" customWidth="1"/>
    <col min="2" max="2" width="17" customWidth="1"/>
    <col min="3" max="3" width="15" customWidth="1"/>
    <col min="4" max="4" width="10.85546875" customWidth="1"/>
    <col min="5" max="5" width="17.28515625" customWidth="1"/>
    <col min="8" max="8" width="16.85546875" bestFit="1" customWidth="1"/>
    <col min="9" max="9" width="10" bestFit="1" customWidth="1"/>
  </cols>
  <sheetData>
    <row r="1" spans="1:9" x14ac:dyDescent="0.25">
      <c r="A1" s="43" t="s">
        <v>8</v>
      </c>
      <c r="B1" s="43"/>
      <c r="C1" s="43"/>
      <c r="D1" s="43"/>
      <c r="E1" s="43"/>
      <c r="F1" s="43"/>
      <c r="H1" t="s">
        <v>80</v>
      </c>
      <c r="I1" s="2">
        <f>D6 - (500000 - B17)</f>
        <v>244137.3699999993</v>
      </c>
    </row>
    <row r="2" spans="1:9" x14ac:dyDescent="0.25">
      <c r="A2" s="43"/>
      <c r="B2" s="43"/>
      <c r="C2" s="43"/>
      <c r="D2" s="43"/>
      <c r="E2" s="43"/>
      <c r="F2" s="43"/>
      <c r="H2" s="2"/>
    </row>
    <row r="3" spans="1:9" x14ac:dyDescent="0.25">
      <c r="A3" s="7" t="s">
        <v>0</v>
      </c>
      <c r="B3" s="8">
        <f>B5+B6</f>
        <v>4700211.1999999993</v>
      </c>
      <c r="C3" s="9" t="s">
        <v>1</v>
      </c>
      <c r="D3" s="6">
        <f>D6+D7+D8+D9+D10+D11+D13+F6+F7+F8+F9</f>
        <v>4276426.21</v>
      </c>
      <c r="E3" s="6"/>
      <c r="F3" s="6"/>
    </row>
    <row r="4" spans="1:9" x14ac:dyDescent="0.25">
      <c r="A4" s="7" t="s">
        <v>9</v>
      </c>
      <c r="B4" s="8"/>
      <c r="C4" s="6" t="s">
        <v>9</v>
      </c>
      <c r="D4" s="6"/>
      <c r="E4" s="6"/>
      <c r="F4" s="6"/>
    </row>
    <row r="5" spans="1:9" ht="30" x14ac:dyDescent="0.25">
      <c r="A5" s="7" t="s">
        <v>10</v>
      </c>
      <c r="B5" s="7">
        <v>1725245.9</v>
      </c>
      <c r="C5" s="44" t="s">
        <v>11</v>
      </c>
      <c r="D5" s="44"/>
      <c r="E5" s="44" t="s">
        <v>12</v>
      </c>
      <c r="F5" s="44"/>
    </row>
    <row r="6" spans="1:9" ht="30" x14ac:dyDescent="0.25">
      <c r="A6" s="7" t="s">
        <v>13</v>
      </c>
      <c r="B6" s="7">
        <v>2974965.3</v>
      </c>
      <c r="C6" s="6" t="s">
        <v>14</v>
      </c>
      <c r="D6" s="6">
        <v>320352.38</v>
      </c>
      <c r="E6" s="10" t="s">
        <v>15</v>
      </c>
      <c r="F6" s="6">
        <v>3363.66</v>
      </c>
    </row>
    <row r="7" spans="1:9" x14ac:dyDescent="0.25">
      <c r="A7" s="7"/>
      <c r="B7" s="7"/>
      <c r="C7" s="6" t="s">
        <v>2</v>
      </c>
      <c r="D7" s="6">
        <v>131948.98000000001</v>
      </c>
      <c r="E7" s="6" t="s">
        <v>5</v>
      </c>
      <c r="F7" s="6">
        <v>21338</v>
      </c>
    </row>
    <row r="8" spans="1:9" ht="27.6" customHeight="1" x14ac:dyDescent="0.25">
      <c r="A8" s="7"/>
      <c r="B8" s="7"/>
      <c r="C8" s="6" t="s">
        <v>16</v>
      </c>
      <c r="D8" s="6">
        <v>25861.03</v>
      </c>
      <c r="E8" s="10" t="s">
        <v>6</v>
      </c>
      <c r="F8" s="6">
        <v>13478</v>
      </c>
    </row>
    <row r="9" spans="1:9" ht="32.450000000000003" customHeight="1" x14ac:dyDescent="0.25">
      <c r="A9" s="7"/>
      <c r="B9" s="8"/>
      <c r="C9" s="6" t="s">
        <v>3</v>
      </c>
      <c r="D9" s="6">
        <v>2423.16</v>
      </c>
      <c r="E9" s="12" t="s">
        <v>7</v>
      </c>
      <c r="F9" s="6">
        <v>7860</v>
      </c>
      <c r="I9" s="6"/>
    </row>
    <row r="10" spans="1:9" x14ac:dyDescent="0.25">
      <c r="A10" s="7"/>
      <c r="B10" s="8"/>
      <c r="C10" s="6" t="s">
        <v>4</v>
      </c>
      <c r="D10" s="6">
        <v>695882.84</v>
      </c>
      <c r="E10" s="6" t="s">
        <v>22</v>
      </c>
      <c r="F10" s="6">
        <f>F7+F8+F9+F6</f>
        <v>46039.66</v>
      </c>
    </row>
    <row r="11" spans="1:9" ht="45" x14ac:dyDescent="0.25">
      <c r="A11" s="7"/>
      <c r="B11" s="8"/>
      <c r="C11" s="10" t="s">
        <v>23</v>
      </c>
      <c r="D11" s="6">
        <v>78952.86</v>
      </c>
      <c r="E11" s="6"/>
      <c r="F11" s="6"/>
    </row>
    <row r="12" spans="1:9" x14ac:dyDescent="0.25">
      <c r="A12" s="7"/>
      <c r="B12" s="8"/>
      <c r="C12" s="6"/>
      <c r="D12" s="6"/>
      <c r="E12" s="6"/>
      <c r="F12" s="6"/>
    </row>
    <row r="13" spans="1:9" x14ac:dyDescent="0.25">
      <c r="A13" s="7"/>
      <c r="B13" s="8"/>
      <c r="C13" s="6" t="s">
        <v>17</v>
      </c>
      <c r="D13" s="6">
        <v>2974965.3</v>
      </c>
      <c r="E13" s="6"/>
      <c r="F13" s="6"/>
    </row>
    <row r="14" spans="1:9" x14ac:dyDescent="0.25">
      <c r="A14" s="7"/>
      <c r="B14" s="8"/>
      <c r="C14" s="6" t="s">
        <v>18</v>
      </c>
      <c r="D14" s="6">
        <f>D6+D7+D8+D9+D10+D11+D13</f>
        <v>4230386.55</v>
      </c>
      <c r="E14" s="6"/>
      <c r="F14" s="6"/>
    </row>
    <row r="15" spans="1:9" x14ac:dyDescent="0.25">
      <c r="A15" s="7"/>
      <c r="B15" s="8"/>
      <c r="C15" s="6"/>
      <c r="D15" s="6"/>
      <c r="E15" s="6"/>
      <c r="F15" s="6"/>
    </row>
    <row r="16" spans="1:9" x14ac:dyDescent="0.25">
      <c r="A16" s="7"/>
      <c r="B16" s="7"/>
      <c r="C16" s="6"/>
      <c r="D16" s="6"/>
      <c r="E16" s="6"/>
      <c r="F16" s="6"/>
    </row>
    <row r="17" spans="1:6" x14ac:dyDescent="0.25">
      <c r="A17" s="7" t="s">
        <v>19</v>
      </c>
      <c r="B17" s="8">
        <f>B3-D3</f>
        <v>423784.98999999929</v>
      </c>
      <c r="C17" s="6"/>
      <c r="D17" s="6"/>
      <c r="E17" s="6"/>
      <c r="F17" s="6"/>
    </row>
    <row r="18" spans="1:6" x14ac:dyDescent="0.25">
      <c r="A18" s="7" t="s">
        <v>20</v>
      </c>
      <c r="B18" s="8">
        <f>B17/B20</f>
        <v>13059.629892141733</v>
      </c>
      <c r="C18" s="6"/>
      <c r="D18" s="6"/>
      <c r="E18" s="6"/>
      <c r="F18" s="6"/>
    </row>
    <row r="19" spans="1:6" x14ac:dyDescent="0.25">
      <c r="A19" s="7"/>
      <c r="B19" s="8"/>
      <c r="C19" s="6"/>
      <c r="D19" s="6"/>
      <c r="E19" s="6"/>
      <c r="F19" s="6"/>
    </row>
    <row r="20" spans="1:6" x14ac:dyDescent="0.25">
      <c r="A20" s="7" t="s">
        <v>21</v>
      </c>
      <c r="B20" s="13">
        <v>32.450000000000003</v>
      </c>
      <c r="C20" s="6"/>
      <c r="D20" s="6"/>
      <c r="E20" s="6"/>
      <c r="F20" s="6"/>
    </row>
    <row r="21" spans="1:6" x14ac:dyDescent="0.25">
      <c r="A21" s="1"/>
      <c r="B21" s="3"/>
    </row>
    <row r="22" spans="1:6" x14ac:dyDescent="0.25">
      <c r="A22" s="1"/>
      <c r="B22" s="1"/>
    </row>
    <row r="23" spans="1:6" x14ac:dyDescent="0.25">
      <c r="A23" s="1"/>
      <c r="B23" s="1"/>
    </row>
    <row r="24" spans="1:6" x14ac:dyDescent="0.25">
      <c r="A24" s="1"/>
      <c r="B24" s="1"/>
    </row>
    <row r="25" spans="1:6" x14ac:dyDescent="0.25">
      <c r="A25" s="1"/>
      <c r="B25" s="1"/>
    </row>
  </sheetData>
  <mergeCells count="3">
    <mergeCell ref="A1:F2"/>
    <mergeCell ref="C5:D5"/>
    <mergeCell ref="E5:F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87E8-81B0-42A1-8797-730BC061EF9A}">
  <dimension ref="A1:C19"/>
  <sheetViews>
    <sheetView workbookViewId="0">
      <selection activeCell="B17" sqref="B17"/>
    </sheetView>
  </sheetViews>
  <sheetFormatPr defaultRowHeight="15" x14ac:dyDescent="0.25"/>
  <cols>
    <col min="1" max="1" width="33.42578125" customWidth="1"/>
    <col min="2" max="2" width="38.7109375" customWidth="1"/>
  </cols>
  <sheetData>
    <row r="1" spans="1:2" x14ac:dyDescent="0.25">
      <c r="A1" s="4" t="s">
        <v>24</v>
      </c>
      <c r="B1" t="s">
        <v>27</v>
      </c>
    </row>
    <row r="2" spans="1:2" x14ac:dyDescent="0.25">
      <c r="A2" s="4" t="s">
        <v>25</v>
      </c>
      <c r="B2" t="s">
        <v>28</v>
      </c>
    </row>
    <row r="3" spans="1:2" x14ac:dyDescent="0.25">
      <c r="A3" s="15">
        <v>0.08</v>
      </c>
      <c r="B3" s="16">
        <v>1250</v>
      </c>
    </row>
    <row r="4" spans="1:2" ht="30" x14ac:dyDescent="0.25">
      <c r="A4" s="4" t="s">
        <v>26</v>
      </c>
      <c r="B4" s="5" t="s">
        <v>29</v>
      </c>
    </row>
    <row r="5" spans="1:2" x14ac:dyDescent="0.25">
      <c r="A5" s="4">
        <v>1</v>
      </c>
      <c r="B5" s="16">
        <f>B3*((1+A3)^A5-1)/A3</f>
        <v>1250.0000000000011</v>
      </c>
    </row>
    <row r="6" spans="1:2" x14ac:dyDescent="0.25">
      <c r="A6" s="4">
        <v>2</v>
      </c>
      <c r="B6" s="16">
        <f>B3*((1+A3)^A6-1)/A3</f>
        <v>2600.0000000000018</v>
      </c>
    </row>
    <row r="7" spans="1:2" x14ac:dyDescent="0.25">
      <c r="A7" s="4">
        <v>3</v>
      </c>
      <c r="B7" s="16">
        <f>B3*((1+A3)^A7-1)/A3</f>
        <v>4058.0000000000027</v>
      </c>
    </row>
    <row r="8" spans="1:2" x14ac:dyDescent="0.25">
      <c r="A8" s="4">
        <v>4</v>
      </c>
      <c r="B8" s="16">
        <f>B3*((1+A3)^A8-1)/A3</f>
        <v>5632.6400000000049</v>
      </c>
    </row>
    <row r="9" spans="1:2" x14ac:dyDescent="0.25">
      <c r="A9" s="4">
        <v>5</v>
      </c>
      <c r="B9" s="16">
        <f>B3*((1+A3)^A9-1)/A3</f>
        <v>7333.2512000000052</v>
      </c>
    </row>
    <row r="10" spans="1:2" x14ac:dyDescent="0.25">
      <c r="A10" s="14"/>
    </row>
    <row r="17" spans="2:3" x14ac:dyDescent="0.25">
      <c r="B17" s="18">
        <f>10000*A3/((1+A3)^5-1)</f>
        <v>1704.5645456683649</v>
      </c>
    </row>
    <row r="19" spans="2:3" x14ac:dyDescent="0.25">
      <c r="C19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27634-3611-4AFF-893D-FA0828F0D3A0}">
  <dimension ref="A1:H25"/>
  <sheetViews>
    <sheetView topLeftCell="A5" zoomScale="115" zoomScaleNormal="115" workbookViewId="0">
      <selection activeCell="E24" sqref="E24"/>
    </sheetView>
  </sheetViews>
  <sheetFormatPr defaultRowHeight="15" x14ac:dyDescent="0.25"/>
  <cols>
    <col min="1" max="1" width="3.5703125" customWidth="1"/>
    <col min="2" max="2" width="17.5703125" customWidth="1"/>
    <col min="4" max="4" width="12.140625" customWidth="1"/>
    <col min="7" max="7" width="11.42578125" customWidth="1"/>
  </cols>
  <sheetData>
    <row r="1" spans="1:8" ht="30" customHeight="1" x14ac:dyDescent="0.25">
      <c r="A1" s="47" t="s">
        <v>46</v>
      </c>
      <c r="B1" s="48" t="s">
        <v>47</v>
      </c>
      <c r="C1" s="48"/>
      <c r="D1" s="49" t="s">
        <v>49</v>
      </c>
      <c r="E1" s="49"/>
      <c r="F1" s="50" t="s">
        <v>51</v>
      </c>
      <c r="G1" s="51" t="s">
        <v>52</v>
      </c>
      <c r="H1" s="51"/>
    </row>
    <row r="2" spans="1:8" ht="30" x14ac:dyDescent="0.25">
      <c r="A2" s="47"/>
      <c r="B2" s="19" t="s">
        <v>30</v>
      </c>
      <c r="C2" s="19" t="s">
        <v>48</v>
      </c>
      <c r="D2" s="19" t="s">
        <v>30</v>
      </c>
      <c r="E2" s="20" t="s">
        <v>50</v>
      </c>
      <c r="F2" s="50"/>
      <c r="G2" s="19" t="s">
        <v>53</v>
      </c>
      <c r="H2" s="19" t="s">
        <v>31</v>
      </c>
    </row>
    <row r="3" spans="1:8" x14ac:dyDescent="0.25">
      <c r="A3" s="11">
        <v>1</v>
      </c>
      <c r="B3" s="11">
        <v>2</v>
      </c>
      <c r="C3" s="11">
        <v>3</v>
      </c>
      <c r="D3" s="11">
        <v>4</v>
      </c>
      <c r="E3" s="11">
        <v>5</v>
      </c>
      <c r="F3" s="11">
        <v>6</v>
      </c>
      <c r="G3" s="11">
        <v>7</v>
      </c>
      <c r="H3" s="11">
        <v>8</v>
      </c>
    </row>
    <row r="4" spans="1:8" x14ac:dyDescent="0.25">
      <c r="A4" s="6">
        <v>1</v>
      </c>
      <c r="B4" s="6" t="s">
        <v>54</v>
      </c>
      <c r="C4" s="6">
        <v>12</v>
      </c>
      <c r="D4" s="6" t="s">
        <v>32</v>
      </c>
      <c r="E4" s="6"/>
      <c r="F4" s="6">
        <v>5</v>
      </c>
      <c r="G4" s="6">
        <v>10</v>
      </c>
      <c r="H4" s="6">
        <f>F4*G4</f>
        <v>50</v>
      </c>
    </row>
    <row r="5" spans="1:8" x14ac:dyDescent="0.25">
      <c r="A5" s="6">
        <v>2</v>
      </c>
      <c r="B5" s="6" t="s">
        <v>33</v>
      </c>
      <c r="C5" s="6">
        <v>13</v>
      </c>
      <c r="D5" s="6" t="s">
        <v>57</v>
      </c>
      <c r="E5" s="6"/>
      <c r="F5" s="6">
        <v>118.89</v>
      </c>
      <c r="G5" s="6">
        <v>20.6</v>
      </c>
      <c r="H5" s="6">
        <f>F5*G5</f>
        <v>2449.134</v>
      </c>
    </row>
    <row r="6" spans="1:8" x14ac:dyDescent="0.25">
      <c r="A6" s="6">
        <v>3</v>
      </c>
      <c r="B6" s="6" t="s">
        <v>34</v>
      </c>
      <c r="C6" s="6">
        <v>24</v>
      </c>
      <c r="D6" s="6" t="s">
        <v>57</v>
      </c>
      <c r="E6" s="6"/>
      <c r="F6" s="6">
        <v>85</v>
      </c>
      <c r="G6" s="6">
        <v>45</v>
      </c>
      <c r="H6" s="6">
        <f t="shared" ref="H6:H19" si="0">F6*G6</f>
        <v>3825</v>
      </c>
    </row>
    <row r="7" spans="1:8" x14ac:dyDescent="0.25">
      <c r="A7" s="6">
        <v>4</v>
      </c>
      <c r="B7" s="6" t="s">
        <v>35</v>
      </c>
      <c r="C7" s="6">
        <v>45</v>
      </c>
      <c r="D7" s="6" t="s">
        <v>57</v>
      </c>
      <c r="E7" s="6"/>
      <c r="F7" s="6">
        <v>60</v>
      </c>
      <c r="G7" s="6">
        <v>4</v>
      </c>
      <c r="H7" s="6">
        <f t="shared" si="0"/>
        <v>240</v>
      </c>
    </row>
    <row r="8" spans="1:8" x14ac:dyDescent="0.25">
      <c r="A8" s="6">
        <v>5</v>
      </c>
      <c r="B8" s="6" t="s">
        <v>55</v>
      </c>
      <c r="C8" s="6">
        <v>46</v>
      </c>
      <c r="D8" s="6" t="s">
        <v>57</v>
      </c>
      <c r="E8" s="6"/>
      <c r="F8" s="6">
        <v>165</v>
      </c>
      <c r="G8" s="6">
        <v>4</v>
      </c>
      <c r="H8" s="6">
        <f t="shared" si="0"/>
        <v>660</v>
      </c>
    </row>
    <row r="9" spans="1:8" x14ac:dyDescent="0.25">
      <c r="A9" s="6">
        <v>6</v>
      </c>
      <c r="B9" s="6" t="s">
        <v>36</v>
      </c>
      <c r="C9" s="6">
        <v>47</v>
      </c>
      <c r="D9" s="6" t="s">
        <v>57</v>
      </c>
      <c r="E9" s="6"/>
      <c r="F9" s="6">
        <v>31.39</v>
      </c>
      <c r="G9" s="6">
        <v>4</v>
      </c>
      <c r="H9" s="6">
        <f t="shared" si="0"/>
        <v>125.56</v>
      </c>
    </row>
    <row r="10" spans="1:8" x14ac:dyDescent="0.25">
      <c r="A10" s="6">
        <v>7</v>
      </c>
      <c r="B10" s="6" t="s">
        <v>37</v>
      </c>
      <c r="C10" s="6">
        <v>56</v>
      </c>
      <c r="D10" s="6" t="s">
        <v>57</v>
      </c>
      <c r="E10" s="6"/>
      <c r="F10" s="6">
        <v>65.2</v>
      </c>
      <c r="G10" s="6">
        <v>23</v>
      </c>
      <c r="H10" s="6">
        <f t="shared" si="0"/>
        <v>1499.6000000000001</v>
      </c>
    </row>
    <row r="11" spans="1:8" x14ac:dyDescent="0.25">
      <c r="A11" s="6">
        <v>8</v>
      </c>
      <c r="B11" s="6" t="s">
        <v>38</v>
      </c>
      <c r="C11" s="6">
        <v>57</v>
      </c>
      <c r="D11" s="6" t="s">
        <v>57</v>
      </c>
      <c r="E11" s="6"/>
      <c r="F11" s="6">
        <v>49.44</v>
      </c>
      <c r="G11" s="6">
        <v>1000</v>
      </c>
      <c r="H11" s="6">
        <f t="shared" si="0"/>
        <v>49440</v>
      </c>
    </row>
    <row r="12" spans="1:8" x14ac:dyDescent="0.25">
      <c r="A12" s="6">
        <v>9</v>
      </c>
      <c r="B12" s="6" t="s">
        <v>56</v>
      </c>
      <c r="C12" s="6">
        <v>58</v>
      </c>
      <c r="D12" s="6" t="s">
        <v>57</v>
      </c>
      <c r="E12" s="6"/>
      <c r="F12" s="6">
        <v>45</v>
      </c>
      <c r="G12" s="6">
        <v>19</v>
      </c>
      <c r="H12" s="6">
        <f t="shared" si="0"/>
        <v>855</v>
      </c>
    </row>
    <row r="13" spans="1:8" x14ac:dyDescent="0.25">
      <c r="A13" s="6">
        <v>10</v>
      </c>
      <c r="B13" s="6" t="s">
        <v>39</v>
      </c>
      <c r="C13" s="6">
        <v>59</v>
      </c>
      <c r="D13" s="6" t="s">
        <v>57</v>
      </c>
      <c r="E13" s="6"/>
      <c r="F13" s="6">
        <v>33.06</v>
      </c>
      <c r="G13" s="6">
        <v>1.6</v>
      </c>
      <c r="H13" s="6">
        <f t="shared" si="0"/>
        <v>52.896000000000008</v>
      </c>
    </row>
    <row r="14" spans="1:8" x14ac:dyDescent="0.25">
      <c r="A14" s="6">
        <v>11</v>
      </c>
      <c r="B14" s="6" t="s">
        <v>40</v>
      </c>
      <c r="C14" s="6">
        <v>79</v>
      </c>
      <c r="D14" s="6" t="s">
        <v>57</v>
      </c>
      <c r="E14" s="6"/>
      <c r="F14" s="6">
        <v>49.17</v>
      </c>
      <c r="G14" s="6">
        <v>130</v>
      </c>
      <c r="H14" s="6">
        <f t="shared" si="0"/>
        <v>6392.1</v>
      </c>
    </row>
    <row r="15" spans="1:8" x14ac:dyDescent="0.25">
      <c r="A15" s="6">
        <v>12</v>
      </c>
      <c r="B15" s="6" t="s">
        <v>41</v>
      </c>
      <c r="C15" s="6">
        <v>80</v>
      </c>
      <c r="D15" s="6" t="s">
        <v>57</v>
      </c>
      <c r="E15" s="6"/>
      <c r="F15" s="6">
        <v>40.83</v>
      </c>
      <c r="G15" s="6">
        <v>34</v>
      </c>
      <c r="H15" s="6">
        <f t="shared" si="0"/>
        <v>1388.22</v>
      </c>
    </row>
    <row r="16" spans="1:8" ht="30" x14ac:dyDescent="0.25">
      <c r="A16" s="6">
        <v>13</v>
      </c>
      <c r="B16" s="12" t="s">
        <v>42</v>
      </c>
      <c r="C16" s="6">
        <v>97</v>
      </c>
      <c r="D16" s="6" t="s">
        <v>57</v>
      </c>
      <c r="E16" s="6"/>
      <c r="F16" s="6">
        <v>50.56</v>
      </c>
      <c r="G16" s="6">
        <v>34</v>
      </c>
      <c r="H16" s="6">
        <f t="shared" si="0"/>
        <v>1719.04</v>
      </c>
    </row>
    <row r="17" spans="1:8" x14ac:dyDescent="0.25">
      <c r="A17" s="6">
        <v>14</v>
      </c>
      <c r="B17" s="6" t="s">
        <v>43</v>
      </c>
      <c r="C17" s="6">
        <v>98</v>
      </c>
      <c r="D17" s="6" t="s">
        <v>57</v>
      </c>
      <c r="E17" s="6"/>
      <c r="F17" s="6">
        <v>90</v>
      </c>
      <c r="G17" s="6">
        <v>123</v>
      </c>
      <c r="H17" s="6">
        <f t="shared" si="0"/>
        <v>11070</v>
      </c>
    </row>
    <row r="18" spans="1:8" x14ac:dyDescent="0.25">
      <c r="A18" s="6">
        <v>15</v>
      </c>
      <c r="B18" s="6" t="s">
        <v>44</v>
      </c>
      <c r="C18" s="6">
        <v>99</v>
      </c>
      <c r="D18" s="6" t="s">
        <v>57</v>
      </c>
      <c r="E18" s="6"/>
      <c r="F18" s="6">
        <v>65</v>
      </c>
      <c r="G18" s="6">
        <v>145</v>
      </c>
      <c r="H18" s="6">
        <f t="shared" si="0"/>
        <v>9425</v>
      </c>
    </row>
    <row r="19" spans="1:8" x14ac:dyDescent="0.25">
      <c r="A19" s="6">
        <v>16</v>
      </c>
      <c r="B19" s="6" t="s">
        <v>45</v>
      </c>
      <c r="C19" s="6">
        <v>100</v>
      </c>
      <c r="D19" s="6" t="s">
        <v>57</v>
      </c>
      <c r="E19" s="6"/>
      <c r="F19" s="6">
        <v>40</v>
      </c>
      <c r="G19" s="6">
        <v>34</v>
      </c>
      <c r="H19" s="6">
        <f t="shared" si="0"/>
        <v>1360</v>
      </c>
    </row>
    <row r="21" spans="1:8" x14ac:dyDescent="0.25">
      <c r="B21" s="45" t="s">
        <v>81</v>
      </c>
      <c r="C21" s="45"/>
      <c r="D21" s="45"/>
      <c r="E21" s="45"/>
      <c r="F21" s="45"/>
      <c r="G21" s="45"/>
      <c r="H21" s="45"/>
    </row>
    <row r="22" spans="1:8" x14ac:dyDescent="0.25">
      <c r="B22" s="46" t="s">
        <v>84</v>
      </c>
      <c r="C22" s="46"/>
      <c r="D22" s="46"/>
      <c r="E22">
        <f>COUNT(A4:A19)</f>
        <v>16</v>
      </c>
      <c r="F22" s="31"/>
      <c r="G22" s="31"/>
      <c r="H22" s="31"/>
    </row>
    <row r="23" spans="1:8" x14ac:dyDescent="0.25">
      <c r="B23" s="46" t="s">
        <v>83</v>
      </c>
      <c r="C23" s="46"/>
      <c r="D23" s="46"/>
      <c r="E23">
        <f>SUM(G4:G19)</f>
        <v>1631.1999999999998</v>
      </c>
      <c r="F23" s="32"/>
      <c r="G23" s="32"/>
      <c r="H23" s="32"/>
    </row>
    <row r="24" spans="1:8" x14ac:dyDescent="0.25">
      <c r="B24" s="46" t="s">
        <v>82</v>
      </c>
      <c r="C24" s="46"/>
      <c r="D24" s="46"/>
      <c r="E24" s="32">
        <f>SUM((H4:H19))</f>
        <v>90551.55</v>
      </c>
      <c r="F24" s="32"/>
      <c r="G24" s="32"/>
      <c r="H24" s="32"/>
    </row>
    <row r="25" spans="1:8" x14ac:dyDescent="0.25">
      <c r="B25" s="31"/>
      <c r="C25" s="31"/>
      <c r="D25" s="31"/>
      <c r="E25" s="31"/>
      <c r="F25" s="31"/>
      <c r="G25" s="31"/>
      <c r="H25" s="31"/>
    </row>
  </sheetData>
  <mergeCells count="9">
    <mergeCell ref="B21:H21"/>
    <mergeCell ref="B22:D22"/>
    <mergeCell ref="B23:D23"/>
    <mergeCell ref="B24:D24"/>
    <mergeCell ref="A1:A2"/>
    <mergeCell ref="B1:C1"/>
    <mergeCell ref="D1:E1"/>
    <mergeCell ref="F1:F2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6960-70FC-4931-BF60-33B51F8FF44C}">
  <dimension ref="A1:E17"/>
  <sheetViews>
    <sheetView zoomScale="98" zoomScaleNormal="100" workbookViewId="0">
      <selection activeCell="D16" sqref="D16"/>
    </sheetView>
  </sheetViews>
  <sheetFormatPr defaultRowHeight="15" x14ac:dyDescent="0.25"/>
  <cols>
    <col min="1" max="1" width="36.28515625" bestFit="1" customWidth="1"/>
    <col min="2" max="2" width="27.42578125" customWidth="1"/>
    <col min="3" max="3" width="24" customWidth="1"/>
    <col min="4" max="4" width="47.140625" bestFit="1" customWidth="1"/>
  </cols>
  <sheetData>
    <row r="1" spans="1:5" x14ac:dyDescent="0.25">
      <c r="A1" s="33"/>
      <c r="B1" s="34"/>
      <c r="C1" s="35"/>
    </row>
    <row r="2" spans="1:5" x14ac:dyDescent="0.25">
      <c r="A2" s="52" t="s">
        <v>58</v>
      </c>
      <c r="B2" s="53"/>
      <c r="C2" s="54"/>
      <c r="D2" s="32"/>
      <c r="E2" s="32"/>
    </row>
    <row r="3" spans="1:5" x14ac:dyDescent="0.25">
      <c r="A3" s="36" t="s">
        <v>25</v>
      </c>
      <c r="B3" s="6"/>
      <c r="C3" s="37"/>
    </row>
    <row r="4" spans="1:5" x14ac:dyDescent="0.25">
      <c r="A4" s="36" t="s">
        <v>59</v>
      </c>
      <c r="B4" s="6">
        <v>0.12</v>
      </c>
      <c r="C4" s="37"/>
    </row>
    <row r="5" spans="1:5" x14ac:dyDescent="0.25">
      <c r="A5" s="36" t="s">
        <v>60</v>
      </c>
      <c r="B5" s="6">
        <v>0.14000000000000001</v>
      </c>
      <c r="C5" s="37"/>
    </row>
    <row r="6" spans="1:5" x14ac:dyDescent="0.25">
      <c r="A6" s="36" t="s">
        <v>28</v>
      </c>
      <c r="B6" s="6">
        <v>500000</v>
      </c>
      <c r="C6" s="37"/>
    </row>
    <row r="7" spans="1:5" x14ac:dyDescent="0.25">
      <c r="A7" s="36"/>
      <c r="B7" s="6"/>
      <c r="C7" s="37"/>
    </row>
    <row r="8" spans="1:5" ht="45" x14ac:dyDescent="0.25">
      <c r="A8" s="38" t="s">
        <v>61</v>
      </c>
      <c r="B8" s="10" t="s">
        <v>62</v>
      </c>
      <c r="C8" s="39" t="s">
        <v>63</v>
      </c>
    </row>
    <row r="9" spans="1:5" x14ac:dyDescent="0.25">
      <c r="A9" s="38"/>
      <c r="B9" s="10" t="s">
        <v>65</v>
      </c>
      <c r="C9" s="39" t="s">
        <v>65</v>
      </c>
    </row>
    <row r="10" spans="1:5" x14ac:dyDescent="0.25">
      <c r="A10" s="38">
        <v>1</v>
      </c>
      <c r="B10" s="10">
        <f>$B$6 * ( (1 + $B$4) ^ A10 - 1 ) / $B$4 * (1 + $B$4)</f>
        <v>560000.00000000058</v>
      </c>
      <c r="C10" s="39">
        <f>$B$6 * ( (1 + $B$5) ^ A10 - 1 ) / $B$5</f>
        <v>500000.00000000035</v>
      </c>
    </row>
    <row r="11" spans="1:5" x14ac:dyDescent="0.25">
      <c r="A11" s="38">
        <v>2</v>
      </c>
      <c r="B11" s="10">
        <f>$B$6 * ( (1 + $B$4) ^ A11 - 1 ) / $B$4 * (1 + $B$4)</f>
        <v>1187200.0000000009</v>
      </c>
      <c r="C11" s="39">
        <f>$B$6 * ( (1 + $B$5) ^ A11 - 1 ) / $B$5</f>
        <v>1070000.0000000009</v>
      </c>
    </row>
    <row r="12" spans="1:5" ht="30.75" customHeight="1" x14ac:dyDescent="0.25">
      <c r="A12" s="38">
        <v>3</v>
      </c>
      <c r="B12" s="10">
        <f>$B$6 * ( (1 + $B$4) ^ A12 - 1 ) / $B$4 * (1 + $B$4)</f>
        <v>1889664.0000000023</v>
      </c>
      <c r="C12" s="39">
        <f>$B$6 * ( (1 + $B$5) ^ A12 - 1 ) / $B$5</f>
        <v>1719800.0000000014</v>
      </c>
    </row>
    <row r="13" spans="1:5" x14ac:dyDescent="0.25">
      <c r="A13" s="36"/>
      <c r="B13" s="6"/>
      <c r="C13" s="37"/>
    </row>
    <row r="14" spans="1:5" x14ac:dyDescent="0.25">
      <c r="A14" s="36" t="s">
        <v>64</v>
      </c>
      <c r="B14" s="6">
        <f>SUM(B10:B12)</f>
        <v>3636864.0000000037</v>
      </c>
      <c r="C14" s="37">
        <f>SUM(C10:C12)</f>
        <v>3289800.0000000028</v>
      </c>
    </row>
    <row r="15" spans="1:5" x14ac:dyDescent="0.25">
      <c r="A15" s="36"/>
      <c r="B15" s="6"/>
      <c r="C15" s="37"/>
    </row>
    <row r="16" spans="1:5" x14ac:dyDescent="0.25">
      <c r="A16" s="36" t="s">
        <v>85</v>
      </c>
      <c r="B16" s="6">
        <f>2000000 / ( ( (1 + $B$4) ^ 3 - 1 ) / $B$4 * (1 + $B$4) )</f>
        <v>529194.60814197594</v>
      </c>
      <c r="C16" s="37"/>
    </row>
    <row r="17" spans="1:3" ht="15.75" thickBot="1" x14ac:dyDescent="0.3">
      <c r="A17" s="40" t="s">
        <v>86</v>
      </c>
      <c r="B17" s="41">
        <f>2000000 / ( ( (1 + $B$5) ^ 3 - 1 ) / $B$5 )</f>
        <v>581462.960809396</v>
      </c>
      <c r="C17" s="42"/>
    </row>
  </sheetData>
  <mergeCells count="1">
    <mergeCell ref="A2:C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1D03-E6FC-4298-B0BF-26AA82B438D0}">
  <dimension ref="A1:G10"/>
  <sheetViews>
    <sheetView tabSelected="1" workbookViewId="0">
      <selection activeCell="C17" sqref="C17"/>
    </sheetView>
  </sheetViews>
  <sheetFormatPr defaultRowHeight="15" x14ac:dyDescent="0.25"/>
  <cols>
    <col min="1" max="1" width="6.7109375" bestFit="1" customWidth="1"/>
    <col min="2" max="2" width="18.28515625" bestFit="1" customWidth="1"/>
    <col min="3" max="3" width="17.5703125" bestFit="1" customWidth="1"/>
    <col min="4" max="4" width="19.140625" bestFit="1" customWidth="1"/>
    <col min="5" max="5" width="24.140625" bestFit="1" customWidth="1"/>
    <col min="6" max="6" width="19.5703125" bestFit="1" customWidth="1"/>
    <col min="7" max="7" width="10.85546875" bestFit="1" customWidth="1"/>
  </cols>
  <sheetData>
    <row r="1" spans="1:7" ht="18" x14ac:dyDescent="0.35">
      <c r="A1" s="55" t="s">
        <v>66</v>
      </c>
      <c r="B1" s="56"/>
      <c r="C1" s="56"/>
      <c r="D1" s="56"/>
      <c r="E1" s="56"/>
      <c r="F1" s="56"/>
      <c r="G1" s="21"/>
    </row>
    <row r="2" spans="1:7" ht="18" x14ac:dyDescent="0.35">
      <c r="A2" s="22"/>
      <c r="B2" s="23"/>
      <c r="C2" s="23"/>
      <c r="D2" s="23"/>
      <c r="E2" s="23"/>
      <c r="F2" s="23"/>
      <c r="G2" s="24"/>
    </row>
    <row r="3" spans="1:7" ht="18" x14ac:dyDescent="0.35">
      <c r="A3" s="25" t="s">
        <v>46</v>
      </c>
      <c r="B3" s="26" t="s">
        <v>67</v>
      </c>
      <c r="C3" s="26" t="s">
        <v>68</v>
      </c>
      <c r="D3" s="26" t="s">
        <v>69</v>
      </c>
      <c r="E3" s="26" t="s">
        <v>70</v>
      </c>
      <c r="F3" s="26" t="s">
        <v>71</v>
      </c>
      <c r="G3" s="27" t="s">
        <v>72</v>
      </c>
    </row>
    <row r="4" spans="1:7" ht="18" x14ac:dyDescent="0.35">
      <c r="A4" s="25">
        <v>3</v>
      </c>
      <c r="B4" s="26" t="s">
        <v>75</v>
      </c>
      <c r="C4" s="26">
        <v>7925</v>
      </c>
      <c r="D4" s="26">
        <v>0</v>
      </c>
      <c r="E4" s="26">
        <f>C4-D4</f>
        <v>7925</v>
      </c>
      <c r="F4" s="26">
        <f>E4*0.13</f>
        <v>1030.25</v>
      </c>
      <c r="G4" s="27">
        <f>C4-F4</f>
        <v>6894.75</v>
      </c>
    </row>
    <row r="5" spans="1:7" ht="18" x14ac:dyDescent="0.35">
      <c r="A5" s="25">
        <v>2</v>
      </c>
      <c r="B5" s="26" t="s">
        <v>74</v>
      </c>
      <c r="C5" s="26">
        <v>9000</v>
      </c>
      <c r="D5" s="26">
        <v>1400</v>
      </c>
      <c r="E5" s="26">
        <f>C5-D5</f>
        <v>7600</v>
      </c>
      <c r="F5" s="26">
        <f>E5*0.13</f>
        <v>988</v>
      </c>
      <c r="G5" s="27">
        <f>C5-F5</f>
        <v>8012</v>
      </c>
    </row>
    <row r="6" spans="1:7" ht="18" x14ac:dyDescent="0.35">
      <c r="A6" s="25">
        <v>4</v>
      </c>
      <c r="B6" s="26" t="s">
        <v>76</v>
      </c>
      <c r="C6" s="26">
        <v>40635</v>
      </c>
      <c r="D6" s="26">
        <v>2800</v>
      </c>
      <c r="E6" s="26">
        <f>C6-D6</f>
        <v>37835</v>
      </c>
      <c r="F6" s="26">
        <f>E6*0.13</f>
        <v>4918.55</v>
      </c>
      <c r="G6" s="27">
        <f>C6-F6</f>
        <v>35716.449999999997</v>
      </c>
    </row>
    <row r="7" spans="1:7" ht="18" x14ac:dyDescent="0.35">
      <c r="A7" s="25">
        <v>1</v>
      </c>
      <c r="B7" s="26" t="s">
        <v>73</v>
      </c>
      <c r="C7" s="26">
        <v>18000</v>
      </c>
      <c r="D7" s="26">
        <v>1400</v>
      </c>
      <c r="E7" s="26">
        <f>C7-D7</f>
        <v>16600</v>
      </c>
      <c r="F7" s="26">
        <f>E7*0.13</f>
        <v>2158</v>
      </c>
      <c r="G7" s="27">
        <f>C7-F7</f>
        <v>15842</v>
      </c>
    </row>
    <row r="8" spans="1:7" ht="18" x14ac:dyDescent="0.35">
      <c r="A8" s="25">
        <v>5</v>
      </c>
      <c r="B8" s="26" t="s">
        <v>77</v>
      </c>
      <c r="C8" s="26">
        <v>39690</v>
      </c>
      <c r="D8" s="26">
        <v>1400</v>
      </c>
      <c r="E8" s="26">
        <f>C8-D8</f>
        <v>38290</v>
      </c>
      <c r="F8" s="26">
        <f>E8*0.13</f>
        <v>4977.7</v>
      </c>
      <c r="G8" s="27">
        <f>C8-F8</f>
        <v>34712.300000000003</v>
      </c>
    </row>
    <row r="9" spans="1:7" ht="18" x14ac:dyDescent="0.35">
      <c r="A9" s="25">
        <v>6</v>
      </c>
      <c r="B9" s="26" t="s">
        <v>78</v>
      </c>
      <c r="C9" s="26">
        <v>19015</v>
      </c>
      <c r="D9" s="26">
        <v>2800</v>
      </c>
      <c r="E9" s="26">
        <f>C9-D9</f>
        <v>16215</v>
      </c>
      <c r="F9" s="26">
        <f>E9*0.13</f>
        <v>2107.9500000000003</v>
      </c>
      <c r="G9" s="27">
        <f>C9-F9</f>
        <v>16907.05</v>
      </c>
    </row>
    <row r="10" spans="1:7" ht="18.75" thickBot="1" x14ac:dyDescent="0.4">
      <c r="A10" s="28" t="s">
        <v>79</v>
      </c>
      <c r="B10" s="29"/>
      <c r="C10" s="29"/>
      <c r="D10" s="29"/>
      <c r="E10" s="29">
        <f>SUM(E4:E9)</f>
        <v>124465</v>
      </c>
      <c r="F10" s="29">
        <f>SUM(F4:F9)</f>
        <v>16180.45</v>
      </c>
      <c r="G10" s="30">
        <f>SUM(G4:G9)</f>
        <v>118084.55</v>
      </c>
    </row>
  </sheetData>
  <autoFilter ref="B3:B10" xr:uid="{EBBB1D03-E6FC-4298-B0BF-26AA82B438D0}">
    <sortState xmlns:xlrd2="http://schemas.microsoft.com/office/spreadsheetml/2017/richdata2" ref="A4:G10">
      <sortCondition ref="B3:B10"/>
    </sortState>
  </autoFilter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Расчет заработной платы.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nazarbragin228@gmail.com</cp:lastModifiedBy>
  <dcterms:created xsi:type="dcterms:W3CDTF">2025-11-30T11:15:44Z</dcterms:created>
  <dcterms:modified xsi:type="dcterms:W3CDTF">2025-12-06T20:58:30Z</dcterms:modified>
</cp:coreProperties>
</file>