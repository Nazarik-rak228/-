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2й курс\ИТ Алина Романовна\"/>
    </mc:Choice>
  </mc:AlternateContent>
  <xr:revisionPtr revIDLastSave="0" documentId="13_ncr:1_{8C913C4D-5BD4-45FD-85FA-8F582C1D1650}" xr6:coauthVersionLast="47" xr6:coauthVersionMax="47" xr10:uidLastSave="{00000000-0000-0000-0000-000000000000}"/>
  <bookViews>
    <workbookView xWindow="-120" yWindow="-120" windowWidth="29040" windowHeight="15720" xr2:uid="{0DBD0477-9AF7-405F-96D8-A394F5EE33C4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4" i="3" l="1"/>
  <c r="G134" i="3"/>
  <c r="G133" i="3"/>
  <c r="G132" i="3"/>
  <c r="E132" i="3"/>
  <c r="G131" i="3"/>
  <c r="E131" i="3"/>
  <c r="G130" i="3"/>
  <c r="E130" i="3"/>
  <c r="G129" i="3"/>
  <c r="E129" i="3"/>
  <c r="B129" i="3"/>
  <c r="G128" i="3"/>
  <c r="E128" i="3"/>
  <c r="B128" i="3"/>
  <c r="G127" i="3"/>
  <c r="E127" i="3"/>
  <c r="B127" i="3"/>
  <c r="G126" i="3"/>
  <c r="E126" i="3"/>
  <c r="B126" i="3"/>
  <c r="G125" i="3"/>
  <c r="E125" i="3"/>
  <c r="B125" i="3"/>
  <c r="E124" i="3"/>
  <c r="B124" i="3"/>
  <c r="E123" i="3"/>
  <c r="B123" i="3"/>
  <c r="E122" i="3"/>
  <c r="B122" i="3"/>
  <c r="E121" i="3"/>
  <c r="B121" i="3"/>
  <c r="E120" i="3"/>
  <c r="B120" i="3"/>
  <c r="E119" i="3"/>
  <c r="B119" i="3"/>
  <c r="E118" i="3"/>
  <c r="B118" i="3"/>
  <c r="E117" i="3"/>
  <c r="B117" i="3"/>
  <c r="E116" i="3"/>
  <c r="B116" i="3"/>
  <c r="E115" i="3"/>
  <c r="B115" i="3"/>
  <c r="E114" i="3"/>
  <c r="B114" i="3"/>
  <c r="E113" i="3"/>
  <c r="B113" i="3"/>
  <c r="E112" i="3"/>
  <c r="B112" i="3"/>
  <c r="E111" i="3"/>
  <c r="B111" i="3"/>
  <c r="E110" i="3"/>
  <c r="B110" i="3"/>
  <c r="E109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D49" i="3"/>
  <c r="C49" i="3"/>
  <c r="B49" i="3"/>
  <c r="D48" i="3"/>
  <c r="B48" i="3"/>
  <c r="D47" i="3"/>
  <c r="B47" i="3"/>
  <c r="D46" i="3"/>
  <c r="B46" i="3"/>
  <c r="D45" i="3"/>
  <c r="B45" i="3"/>
  <c r="D44" i="3"/>
  <c r="B44" i="3"/>
  <c r="D43" i="3"/>
  <c r="B43" i="3"/>
  <c r="D42" i="3"/>
  <c r="B42" i="3"/>
  <c r="D41" i="3"/>
  <c r="B41" i="3"/>
  <c r="D40" i="3"/>
  <c r="B40" i="3"/>
  <c r="D39" i="3"/>
  <c r="B39" i="3"/>
  <c r="D38" i="3"/>
  <c r="B38" i="3"/>
  <c r="D37" i="3"/>
  <c r="B37" i="3"/>
  <c r="F36" i="3"/>
  <c r="D36" i="3"/>
  <c r="B36" i="3"/>
  <c r="F35" i="3"/>
  <c r="D35" i="3"/>
  <c r="B35" i="3"/>
  <c r="I34" i="3"/>
  <c r="F34" i="3"/>
  <c r="D34" i="3"/>
  <c r="B34" i="3"/>
  <c r="I33" i="3"/>
  <c r="F33" i="3"/>
  <c r="D33" i="3"/>
  <c r="B33" i="3"/>
  <c r="I32" i="3"/>
  <c r="F32" i="3"/>
  <c r="D32" i="3"/>
  <c r="I31" i="3"/>
  <c r="F31" i="3"/>
  <c r="D31" i="3"/>
  <c r="I30" i="3"/>
  <c r="F30" i="3"/>
  <c r="D30" i="3"/>
  <c r="I29" i="3"/>
  <c r="F29" i="3"/>
  <c r="D29" i="3"/>
  <c r="I28" i="3"/>
  <c r="F28" i="3"/>
  <c r="D28" i="3"/>
  <c r="I27" i="3"/>
  <c r="F27" i="3"/>
  <c r="I26" i="3"/>
  <c r="F26" i="3"/>
  <c r="I25" i="3"/>
  <c r="F25" i="3"/>
  <c r="I24" i="3"/>
  <c r="F24" i="3"/>
  <c r="F23" i="3"/>
  <c r="F22" i="3"/>
  <c r="F21" i="3"/>
  <c r="F20" i="3"/>
  <c r="F19" i="3"/>
  <c r="F18" i="3"/>
  <c r="F17" i="3"/>
  <c r="F16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F3" i="3"/>
  <c r="F2" i="3"/>
  <c r="D9" i="1"/>
  <c r="C9" i="1"/>
  <c r="B11" i="1"/>
  <c r="B6" i="2" a="1"/>
  <c r="B6" i="2" s="1"/>
  <c r="J10" i="2" a="1"/>
  <c r="J10" i="2" s="1"/>
  <c r="I17" i="2" a="1"/>
  <c r="I17" i="2" s="1"/>
  <c r="H2" i="2" a="1"/>
  <c r="H2" i="2" s="1"/>
  <c r="D2" i="2" a="1"/>
  <c r="D2" i="2" s="1"/>
  <c r="G13" i="2" a="1"/>
  <c r="G13" i="2" s="1"/>
  <c r="F6" i="2" a="1"/>
  <c r="F6" i="2" s="1"/>
  <c r="E19" i="2" a="1"/>
  <c r="E19" i="2" s="1"/>
  <c r="C15" i="2" a="1"/>
  <c r="C15" i="2" s="1"/>
  <c r="I13" i="1"/>
  <c r="I12" i="1"/>
  <c r="I11" i="1"/>
  <c r="I10" i="1"/>
  <c r="I9" i="1"/>
  <c r="I8" i="1"/>
  <c r="I7" i="1"/>
  <c r="H6" i="1"/>
  <c r="I6" i="1"/>
  <c r="H12" i="1"/>
  <c r="H11" i="1"/>
  <c r="H10" i="1"/>
  <c r="H9" i="1"/>
  <c r="H8" i="1"/>
  <c r="H7" i="1"/>
  <c r="H5" i="1"/>
  <c r="G20" i="1"/>
  <c r="G19" i="1"/>
  <c r="G18" i="1"/>
  <c r="F6" i="1"/>
  <c r="F7" i="1"/>
  <c r="F5" i="1"/>
  <c r="E9" i="1"/>
  <c r="E8" i="1"/>
  <c r="E7" i="1"/>
  <c r="E6" i="1"/>
  <c r="E5" i="1"/>
  <c r="D11" i="1"/>
  <c r="D10" i="1"/>
  <c r="D8" i="1"/>
  <c r="D7" i="1"/>
  <c r="C18" i="1"/>
  <c r="C17" i="1"/>
  <c r="C16" i="1"/>
  <c r="C15" i="1"/>
  <c r="C14" i="1"/>
  <c r="C13" i="1"/>
  <c r="C12" i="1"/>
  <c r="C11" i="1"/>
  <c r="C10" i="1"/>
  <c r="B20" i="1"/>
  <c r="B19" i="1"/>
  <c r="B18" i="1"/>
  <c r="B17" i="1"/>
  <c r="B16" i="1"/>
  <c r="B15" i="1"/>
  <c r="B14" i="1"/>
  <c r="B13" i="1"/>
  <c r="B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<sst xmlns="http://schemas.openxmlformats.org/spreadsheetml/2006/main" count="28" uniqueCount="10">
  <si>
    <t>x</t>
  </si>
  <si>
    <t>y1</t>
  </si>
  <si>
    <t>y2</t>
  </si>
  <si>
    <t>y3</t>
  </si>
  <si>
    <t>y4</t>
  </si>
  <si>
    <t>y5</t>
  </si>
  <si>
    <t>y6</t>
  </si>
  <si>
    <t>y7</t>
  </si>
  <si>
    <t>y8</t>
  </si>
  <si>
    <t>у9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</si>
</sst>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Птичка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Лист1!$B$2:$B$20</c:f>
              <c:numCache>
                <c:formatCode>General</c:formatCode>
                <c:ptCount val="19"/>
                <c:pt idx="9">
                  <c:v>6</c:v>
                </c:pt>
                <c:pt idx="10">
                  <c:v>5.8518518518518521</c:v>
                </c:pt>
                <c:pt idx="11">
                  <c:v>5.4074074074074074</c:v>
                </c:pt>
                <c:pt idx="12">
                  <c:v>4.666666666666667</c:v>
                </c:pt>
                <c:pt idx="13">
                  <c:v>3.6296296296296298</c:v>
                </c:pt>
                <c:pt idx="14">
                  <c:v>2.2962962962962967</c:v>
                </c:pt>
                <c:pt idx="15">
                  <c:v>0.66666666666666696</c:v>
                </c:pt>
                <c:pt idx="16">
                  <c:v>-1.2592592592592586</c:v>
                </c:pt>
                <c:pt idx="17">
                  <c:v>-3.481481481481481</c:v>
                </c:pt>
                <c:pt idx="18">
                  <c:v>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A3-4C6A-90CB-0D81676714A0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y2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Лист1!$C$2:$C$20</c:f>
              <c:numCache>
                <c:formatCode>General</c:formatCode>
                <c:ptCount val="19"/>
                <c:pt idx="7">
                  <c:v>5</c:v>
                </c:pt>
                <c:pt idx="8">
                  <c:v>3.1111111111111107</c:v>
                </c:pt>
                <c:pt idx="9">
                  <c:v>1.4444444444444438</c:v>
                </c:pt>
                <c:pt idx="10">
                  <c:v>0</c:v>
                </c:pt>
                <c:pt idx="11">
                  <c:v>-1.2222222222222223</c:v>
                </c:pt>
                <c:pt idx="12">
                  <c:v>-2.2222222222222223</c:v>
                </c:pt>
                <c:pt idx="13">
                  <c:v>-3</c:v>
                </c:pt>
                <c:pt idx="14">
                  <c:v>-3.5555555555555554</c:v>
                </c:pt>
                <c:pt idx="15">
                  <c:v>-3.8888888888888888</c:v>
                </c:pt>
                <c:pt idx="16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A3-4C6A-90CB-0D81676714A0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y3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Лист1!$D$2:$D$20</c:f>
              <c:numCache>
                <c:formatCode>General</c:formatCode>
                <c:ptCount val="19"/>
                <c:pt idx="5">
                  <c:v>6</c:v>
                </c:pt>
                <c:pt idx="6">
                  <c:v>7.5</c:v>
                </c:pt>
                <c:pt idx="7">
                  <c:v>8</c:v>
                </c:pt>
                <c:pt idx="8">
                  <c:v>7.5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A3-4C6A-90CB-0D81676714A0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y4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Лист1!$E$2:$E$20</c:f>
              <c:numCache>
                <c:formatCode>General</c:formatCode>
                <c:ptCount val="19"/>
                <c:pt idx="3">
                  <c:v>4</c:v>
                </c:pt>
                <c:pt idx="4">
                  <c:v>4.4375</c:v>
                </c:pt>
                <c:pt idx="5">
                  <c:v>4.75</c:v>
                </c:pt>
                <c:pt idx="6">
                  <c:v>4.9375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A3-4C6A-90CB-0D81676714A0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y5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Лист1!$F$2:$F$20</c:f>
              <c:numCache>
                <c:formatCode>General</c:formatCod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A3-4C6A-90CB-0D81676714A0}"/>
            </c:ext>
          </c:extLst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y6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Лист1!$G$2:$G$20</c:f>
              <c:numCache>
                <c:formatCode>General</c:formatCode>
                <c:ptCount val="19"/>
                <c:pt idx="16">
                  <c:v>-4</c:v>
                </c:pt>
                <c:pt idx="17">
                  <c:v>-5</c:v>
                </c:pt>
                <c:pt idx="18">
                  <c:v>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A3-4C6A-90CB-0D81676714A0}"/>
            </c:ext>
          </c:extLst>
        </c:ser>
        <c:ser>
          <c:idx val="6"/>
          <c:order val="6"/>
          <c:tx>
            <c:strRef>
              <c:f>Лист1!$H$1</c:f>
              <c:strCache>
                <c:ptCount val="1"/>
                <c:pt idx="0">
                  <c:v>y7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Лист1!$H$2:$H$20</c:f>
              <c:numCache>
                <c:formatCode>General</c:formatCode>
                <c:ptCount val="19"/>
                <c:pt idx="3">
                  <c:v>-4</c:v>
                </c:pt>
                <c:pt idx="4">
                  <c:v>-3.5</c:v>
                </c:pt>
                <c:pt idx="5">
                  <c:v>-3</c:v>
                </c:pt>
                <c:pt idx="6">
                  <c:v>-2.5</c:v>
                </c:pt>
                <c:pt idx="7">
                  <c:v>-2</c:v>
                </c:pt>
                <c:pt idx="8">
                  <c:v>-1.5</c:v>
                </c:pt>
                <c:pt idx="9">
                  <c:v>-1</c:v>
                </c:pt>
                <c:pt idx="10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A3-4C6A-90CB-0D81676714A0}"/>
            </c:ext>
          </c:extLst>
        </c:ser>
        <c:ser>
          <c:idx val="7"/>
          <c:order val="7"/>
          <c:tx>
            <c:strRef>
              <c:f>Лист1!$I$1</c:f>
              <c:strCache>
                <c:ptCount val="1"/>
                <c:pt idx="0">
                  <c:v>y8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Лист1!$I$2:$I$20</c:f>
              <c:numCache>
                <c:formatCode>General</c:formatCode>
                <c:ptCount val="19"/>
                <c:pt idx="4">
                  <c:v>-5</c:v>
                </c:pt>
                <c:pt idx="5">
                  <c:v>-4.5</c:v>
                </c:pt>
                <c:pt idx="6">
                  <c:v>-4</c:v>
                </c:pt>
                <c:pt idx="7">
                  <c:v>-3.5</c:v>
                </c:pt>
                <c:pt idx="8">
                  <c:v>-3</c:v>
                </c:pt>
                <c:pt idx="9">
                  <c:v>-2.5</c:v>
                </c:pt>
                <c:pt idx="10">
                  <c:v>-2</c:v>
                </c:pt>
                <c:pt idx="11">
                  <c:v>-1.5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A3-4C6A-90CB-0D8167671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02607"/>
        <c:axId val="1981664431"/>
      </c:lineChart>
      <c:catAx>
        <c:axId val="51902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1664431"/>
        <c:crosses val="autoZero"/>
        <c:auto val="1"/>
        <c:lblAlgn val="ctr"/>
        <c:lblOffset val="100"/>
        <c:noMultiLvlLbl val="0"/>
      </c:catAx>
      <c:valAx>
        <c:axId val="19816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0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Врававав, я динозавр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y1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Лист2!$B$2:$B$23</c:f>
              <c:numCache>
                <c:formatCode>General</c:formatCode>
                <c:ptCount val="22"/>
                <c:pt idx="4">
                  <c:v>1.875</c:v>
                </c:pt>
                <c:pt idx="5">
                  <c:v>3</c:v>
                </c:pt>
                <c:pt idx="6">
                  <c:v>3.875</c:v>
                </c:pt>
                <c:pt idx="7">
                  <c:v>4.5</c:v>
                </c:pt>
                <c:pt idx="8">
                  <c:v>4.875</c:v>
                </c:pt>
                <c:pt idx="9">
                  <c:v>5</c:v>
                </c:pt>
                <c:pt idx="10">
                  <c:v>4.875</c:v>
                </c:pt>
                <c:pt idx="11">
                  <c:v>4.5</c:v>
                </c:pt>
                <c:pt idx="12">
                  <c:v>3.875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A-4D46-A34C-5F04203E54BF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y2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Лист2!$C$2:$C$23</c:f>
              <c:numCache>
                <c:formatCode>General</c:formatCode>
                <c:ptCount val="22"/>
                <c:pt idx="13">
                  <c:v>3</c:v>
                </c:pt>
                <c:pt idx="14">
                  <c:v>5.1875</c:v>
                </c:pt>
                <c:pt idx="15">
                  <c:v>6.75</c:v>
                </c:pt>
                <c:pt idx="16">
                  <c:v>7.6875</c:v>
                </c:pt>
                <c:pt idx="17">
                  <c:v>8</c:v>
                </c:pt>
                <c:pt idx="18">
                  <c:v>7.6875</c:v>
                </c:pt>
                <c:pt idx="19">
                  <c:v>6.75</c:v>
                </c:pt>
                <c:pt idx="20">
                  <c:v>5.1875</c:v>
                </c:pt>
                <c:pt idx="2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A-4D46-A34C-5F04203E54BF}"/>
            </c:ext>
          </c:extLst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y3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Лист2!$D$2:$D$23</c:f>
              <c:numCache>
                <c:formatCode>General</c:formatCode>
                <c:ptCount val="22"/>
                <c:pt idx="0">
                  <c:v>1</c:v>
                </c:pt>
                <c:pt idx="1">
                  <c:v>2.5</c:v>
                </c:pt>
                <c:pt idx="2">
                  <c:v>3</c:v>
                </c:pt>
                <c:pt idx="3">
                  <c:v>2.5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AA-4D46-A34C-5F04203E54BF}"/>
            </c:ext>
          </c:extLst>
        </c:ser>
        <c:ser>
          <c:idx val="3"/>
          <c:order val="3"/>
          <c:tx>
            <c:strRef>
              <c:f>Лист2!$E$1</c:f>
              <c:strCache>
                <c:ptCount val="1"/>
                <c:pt idx="0">
                  <c:v>y4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Лист2!$E$2:$E$23</c:f>
              <c:numCache>
                <c:formatCode>General</c:formatCode>
                <c:ptCount val="22"/>
                <c:pt idx="17">
                  <c:v>3</c:v>
                </c:pt>
                <c:pt idx="18">
                  <c:v>1.5</c:v>
                </c:pt>
                <c:pt idx="19">
                  <c:v>1</c:v>
                </c:pt>
                <c:pt idx="20">
                  <c:v>1.5</c:v>
                </c:pt>
                <c:pt idx="2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AA-4D46-A34C-5F04203E54BF}"/>
            </c:ext>
          </c:extLst>
        </c:ser>
        <c:ser>
          <c:idx val="4"/>
          <c:order val="4"/>
          <c:tx>
            <c:strRef>
              <c:f>Лист2!$F$1</c:f>
              <c:strCache>
                <c:ptCount val="1"/>
                <c:pt idx="0">
                  <c:v>y5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Лист2!$F$2:$F$23</c:f>
              <c:numCache>
                <c:formatCode>General</c:formatCode>
                <c:ptCount val="22"/>
                <c:pt idx="4">
                  <c:v>-3</c:v>
                </c:pt>
                <c:pt idx="5">
                  <c:v>-6</c:v>
                </c:pt>
                <c:pt idx="6">
                  <c:v>-7</c:v>
                </c:pt>
                <c:pt idx="7">
                  <c:v>-6</c:v>
                </c:pt>
                <c:pt idx="8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AA-4D46-A34C-5F04203E54BF}"/>
            </c:ext>
          </c:extLst>
        </c:ser>
        <c:ser>
          <c:idx val="5"/>
          <c:order val="5"/>
          <c:tx>
            <c:strRef>
              <c:f>Лист2!$G$1</c:f>
              <c:strCache>
                <c:ptCount val="1"/>
                <c:pt idx="0">
                  <c:v>y6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Лист2!$G$2:$G$23</c:f>
              <c:numCache>
                <c:formatCode>General</c:formatCode>
                <c:ptCount val="22"/>
                <c:pt idx="11">
                  <c:v>-3</c:v>
                </c:pt>
                <c:pt idx="12">
                  <c:v>-6</c:v>
                </c:pt>
                <c:pt idx="13">
                  <c:v>-7</c:v>
                </c:pt>
                <c:pt idx="14">
                  <c:v>-6</c:v>
                </c:pt>
                <c:pt idx="15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AA-4D46-A34C-5F04203E54BF}"/>
            </c:ext>
          </c:extLst>
        </c:ser>
        <c:ser>
          <c:idx val="6"/>
          <c:order val="6"/>
          <c:tx>
            <c:strRef>
              <c:f>Лист2!$H$1</c:f>
              <c:strCache>
                <c:ptCount val="1"/>
                <c:pt idx="0">
                  <c:v>y7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Лист2!$H$2:$H$23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-2</c:v>
                </c:pt>
                <c:pt idx="4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AA-4D46-A34C-5F04203E54BF}"/>
            </c:ext>
          </c:extLst>
        </c:ser>
        <c:ser>
          <c:idx val="7"/>
          <c:order val="7"/>
          <c:tx>
            <c:strRef>
              <c:f>Лист2!$I$1</c:f>
              <c:strCache>
                <c:ptCount val="1"/>
                <c:pt idx="0">
                  <c:v>y8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Лист2!$I$2:$I$23</c:f>
              <c:numCache>
                <c:formatCode>General</c:formatCode>
                <c:ptCount val="22"/>
                <c:pt idx="15">
                  <c:v>-3</c:v>
                </c:pt>
                <c:pt idx="16">
                  <c:v>0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AA-4D46-A34C-5F04203E54BF}"/>
            </c:ext>
          </c:extLst>
        </c:ser>
        <c:ser>
          <c:idx val="8"/>
          <c:order val="8"/>
          <c:tx>
            <c:strRef>
              <c:f>Лист2!$J$1</c:f>
              <c:strCache>
                <c:ptCount val="1"/>
                <c:pt idx="0">
                  <c:v>у9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Лист2!$J$2:$J$23</c:f>
              <c:numCache>
                <c:formatCode>General</c:formatCode>
                <c:ptCount val="22"/>
                <c:pt idx="8">
                  <c:v>-3</c:v>
                </c:pt>
                <c:pt idx="9">
                  <c:v>-3.8888888888888888</c:v>
                </c:pt>
                <c:pt idx="10">
                  <c:v>-3.8888888888888888</c:v>
                </c:pt>
                <c:pt idx="11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AA-4D46-A34C-5F04203E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12687"/>
        <c:axId val="51913167"/>
      </c:lineChart>
      <c:catAx>
        <c:axId val="51912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13167"/>
        <c:crosses val="autoZero"/>
        <c:auto val="1"/>
        <c:lblAlgn val="ctr"/>
        <c:lblOffset val="100"/>
        <c:noMultiLvlLbl val="0"/>
      </c:catAx>
      <c:valAx>
        <c:axId val="519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1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Кит,</a:t>
            </a:r>
            <a:r>
              <a:rPr lang="ru-RU" baseline="0"/>
              <a:t> он маму мав...</a:t>
            </a:r>
            <a:endParaRPr lang="ru-RU"/>
          </a:p>
        </c:rich>
      </c:tx>
      <c:layout>
        <c:manualLayout>
          <c:xMode val="edge"/>
          <c:yMode val="edge"/>
          <c:x val="0.3003541119860017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Лист3!$A$1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Лист3!$A$2:$A$134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-6.7</c:v>
                </c:pt>
                <c:pt idx="11">
                  <c:v>-6.6</c:v>
                </c:pt>
                <c:pt idx="12">
                  <c:v>-6.5</c:v>
                </c:pt>
                <c:pt idx="13">
                  <c:v>-6.4</c:v>
                </c:pt>
                <c:pt idx="14">
                  <c:v>-6.3</c:v>
                </c:pt>
                <c:pt idx="15">
                  <c:v>-6.2</c:v>
                </c:pt>
                <c:pt idx="16">
                  <c:v>-6.1</c:v>
                </c:pt>
                <c:pt idx="17">
                  <c:v>-6</c:v>
                </c:pt>
                <c:pt idx="18">
                  <c:v>-5.9</c:v>
                </c:pt>
                <c:pt idx="19">
                  <c:v>-5.8</c:v>
                </c:pt>
                <c:pt idx="20">
                  <c:v>-5.7</c:v>
                </c:pt>
                <c:pt idx="21">
                  <c:v>-5.6</c:v>
                </c:pt>
                <c:pt idx="22">
                  <c:v>-5.5</c:v>
                </c:pt>
                <c:pt idx="23">
                  <c:v>-5.4</c:v>
                </c:pt>
                <c:pt idx="24">
                  <c:v>-5.3</c:v>
                </c:pt>
                <c:pt idx="25">
                  <c:v>-5.2</c:v>
                </c:pt>
                <c:pt idx="26">
                  <c:v>-5.0999999999999996</c:v>
                </c:pt>
                <c:pt idx="27">
                  <c:v>-5</c:v>
                </c:pt>
                <c:pt idx="28">
                  <c:v>-4.9000000000000004</c:v>
                </c:pt>
                <c:pt idx="29">
                  <c:v>-4.8</c:v>
                </c:pt>
                <c:pt idx="30">
                  <c:v>-4.7</c:v>
                </c:pt>
                <c:pt idx="31">
                  <c:v>-4.5999999999999996</c:v>
                </c:pt>
                <c:pt idx="32">
                  <c:v>-4.5</c:v>
                </c:pt>
                <c:pt idx="33">
                  <c:v>-4.4000000000000004</c:v>
                </c:pt>
                <c:pt idx="34">
                  <c:v>-4.3</c:v>
                </c:pt>
                <c:pt idx="35">
                  <c:v>-4.2</c:v>
                </c:pt>
                <c:pt idx="36">
                  <c:v>-4.0999999999999996</c:v>
                </c:pt>
                <c:pt idx="37">
                  <c:v>-4</c:v>
                </c:pt>
                <c:pt idx="38">
                  <c:v>-3.9</c:v>
                </c:pt>
                <c:pt idx="39">
                  <c:v>-3.8</c:v>
                </c:pt>
                <c:pt idx="40">
                  <c:v>-3.7</c:v>
                </c:pt>
                <c:pt idx="41">
                  <c:v>-3.6</c:v>
                </c:pt>
                <c:pt idx="42">
                  <c:v>-3.5</c:v>
                </c:pt>
                <c:pt idx="43">
                  <c:v>-3.4</c:v>
                </c:pt>
                <c:pt idx="44">
                  <c:v>-3.3</c:v>
                </c:pt>
                <c:pt idx="45">
                  <c:v>-3.2</c:v>
                </c:pt>
                <c:pt idx="46">
                  <c:v>-3.1</c:v>
                </c:pt>
                <c:pt idx="47">
                  <c:v>-3</c:v>
                </c:pt>
                <c:pt idx="48">
                  <c:v>-2.9</c:v>
                </c:pt>
                <c:pt idx="49">
                  <c:v>-2.8</c:v>
                </c:pt>
                <c:pt idx="50">
                  <c:v>-2.7</c:v>
                </c:pt>
                <c:pt idx="51">
                  <c:v>-2.6</c:v>
                </c:pt>
                <c:pt idx="52">
                  <c:v>-2.5</c:v>
                </c:pt>
                <c:pt idx="53">
                  <c:v>-2.4</c:v>
                </c:pt>
                <c:pt idx="54">
                  <c:v>-2.2999999999999998</c:v>
                </c:pt>
                <c:pt idx="55">
                  <c:v>-2.2000000000000002</c:v>
                </c:pt>
                <c:pt idx="56">
                  <c:v>-2.1</c:v>
                </c:pt>
                <c:pt idx="57">
                  <c:v>-2</c:v>
                </c:pt>
                <c:pt idx="58">
                  <c:v>-1.9</c:v>
                </c:pt>
                <c:pt idx="59">
                  <c:v>-1.8</c:v>
                </c:pt>
                <c:pt idx="60">
                  <c:v>-1.7</c:v>
                </c:pt>
                <c:pt idx="61">
                  <c:v>-1.6</c:v>
                </c:pt>
                <c:pt idx="62">
                  <c:v>-1.5</c:v>
                </c:pt>
                <c:pt idx="63">
                  <c:v>-1.4</c:v>
                </c:pt>
                <c:pt idx="64">
                  <c:v>-1.3</c:v>
                </c:pt>
                <c:pt idx="65">
                  <c:v>-1.2</c:v>
                </c:pt>
                <c:pt idx="66">
                  <c:v>-1.1000000000000001</c:v>
                </c:pt>
                <c:pt idx="67">
                  <c:v>-1</c:v>
                </c:pt>
                <c:pt idx="68">
                  <c:v>-0.9</c:v>
                </c:pt>
                <c:pt idx="69">
                  <c:v>-0.8</c:v>
                </c:pt>
                <c:pt idx="70">
                  <c:v>-0.7</c:v>
                </c:pt>
                <c:pt idx="71">
                  <c:v>-0.6</c:v>
                </c:pt>
                <c:pt idx="72">
                  <c:v>-0.5</c:v>
                </c:pt>
                <c:pt idx="73">
                  <c:v>-0.4</c:v>
                </c:pt>
                <c:pt idx="74">
                  <c:v>-0.3</c:v>
                </c:pt>
                <c:pt idx="75">
                  <c:v>-0.2</c:v>
                </c:pt>
                <c:pt idx="76">
                  <c:v>-0.1</c:v>
                </c:pt>
                <c:pt idx="77">
                  <c:v>0</c:v>
                </c:pt>
                <c:pt idx="78">
                  <c:v>0.1</c:v>
                </c:pt>
                <c:pt idx="79">
                  <c:v>0.2</c:v>
                </c:pt>
                <c:pt idx="80">
                  <c:v>0.3</c:v>
                </c:pt>
                <c:pt idx="81">
                  <c:v>0.4</c:v>
                </c:pt>
                <c:pt idx="82">
                  <c:v>0.5</c:v>
                </c:pt>
                <c:pt idx="83">
                  <c:v>0.6</c:v>
                </c:pt>
                <c:pt idx="84">
                  <c:v>0.7</c:v>
                </c:pt>
                <c:pt idx="85">
                  <c:v>0.8</c:v>
                </c:pt>
                <c:pt idx="86">
                  <c:v>0.9</c:v>
                </c:pt>
                <c:pt idx="87">
                  <c:v>1</c:v>
                </c:pt>
                <c:pt idx="88">
                  <c:v>1.1000000000000001</c:v>
                </c:pt>
                <c:pt idx="89">
                  <c:v>1.2</c:v>
                </c:pt>
                <c:pt idx="90">
                  <c:v>1.3</c:v>
                </c:pt>
                <c:pt idx="91">
                  <c:v>1.4</c:v>
                </c:pt>
                <c:pt idx="92">
                  <c:v>1.5</c:v>
                </c:pt>
                <c:pt idx="93">
                  <c:v>1.6</c:v>
                </c:pt>
                <c:pt idx="94">
                  <c:v>1.7</c:v>
                </c:pt>
                <c:pt idx="95">
                  <c:v>1.8</c:v>
                </c:pt>
                <c:pt idx="96">
                  <c:v>1.9</c:v>
                </c:pt>
                <c:pt idx="97">
                  <c:v>2</c:v>
                </c:pt>
                <c:pt idx="98">
                  <c:v>2.1</c:v>
                </c:pt>
                <c:pt idx="99">
                  <c:v>2.2000000000000002</c:v>
                </c:pt>
                <c:pt idx="100">
                  <c:v>2.2999999999999998</c:v>
                </c:pt>
                <c:pt idx="101">
                  <c:v>2.4</c:v>
                </c:pt>
                <c:pt idx="102">
                  <c:v>2.5</c:v>
                </c:pt>
                <c:pt idx="103">
                  <c:v>2.6</c:v>
                </c:pt>
                <c:pt idx="104">
                  <c:v>2.7</c:v>
                </c:pt>
                <c:pt idx="105">
                  <c:v>2.8</c:v>
                </c:pt>
                <c:pt idx="106">
                  <c:v>2.9</c:v>
                </c:pt>
                <c:pt idx="107">
                  <c:v>3</c:v>
                </c:pt>
                <c:pt idx="108">
                  <c:v>3.1</c:v>
                </c:pt>
                <c:pt idx="109">
                  <c:v>3.2</c:v>
                </c:pt>
                <c:pt idx="110">
                  <c:v>3.3</c:v>
                </c:pt>
                <c:pt idx="111">
                  <c:v>3.4</c:v>
                </c:pt>
                <c:pt idx="112">
                  <c:v>3.5</c:v>
                </c:pt>
                <c:pt idx="113">
                  <c:v>3.6</c:v>
                </c:pt>
                <c:pt idx="114">
                  <c:v>3.7</c:v>
                </c:pt>
                <c:pt idx="115">
                  <c:v>3.8</c:v>
                </c:pt>
                <c:pt idx="116">
                  <c:v>3.9</c:v>
                </c:pt>
                <c:pt idx="117">
                  <c:v>4</c:v>
                </c:pt>
                <c:pt idx="118">
                  <c:v>4.0999999999999996</c:v>
                </c:pt>
                <c:pt idx="119">
                  <c:v>4.2</c:v>
                </c:pt>
                <c:pt idx="120">
                  <c:v>4.3</c:v>
                </c:pt>
                <c:pt idx="121">
                  <c:v>4.4000000000000004</c:v>
                </c:pt>
                <c:pt idx="122">
                  <c:v>4.5</c:v>
                </c:pt>
                <c:pt idx="123">
                  <c:v>4.5999999999999996</c:v>
                </c:pt>
                <c:pt idx="124">
                  <c:v>4.7</c:v>
                </c:pt>
                <c:pt idx="125">
                  <c:v>4.8</c:v>
                </c:pt>
                <c:pt idx="126">
                  <c:v>4.9000000000000004</c:v>
                </c:pt>
                <c:pt idx="127">
                  <c:v>5</c:v>
                </c:pt>
                <c:pt idx="128">
                  <c:v>5.0999999999999996</c:v>
                </c:pt>
                <c:pt idx="129">
                  <c:v>5.2</c:v>
                </c:pt>
                <c:pt idx="130">
                  <c:v>5.3</c:v>
                </c:pt>
                <c:pt idx="131">
                  <c:v>5.4</c:v>
                </c:pt>
                <c:pt idx="132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7-416F-A66B-8F45CD5FE23A}"/>
            </c:ext>
          </c:extLst>
        </c:ser>
        <c:ser>
          <c:idx val="1"/>
          <c:order val="1"/>
          <c:tx>
            <c:strRef>
              <c:f>Лист3!$B$1</c:f>
              <c:strCache>
                <c:ptCount val="1"/>
                <c:pt idx="0">
                  <c:v>y1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Лист3!$B$2:$B$134</c:f>
              <c:numCache>
                <c:formatCode>General</c:formatCode>
                <c:ptCount val="133"/>
                <c:pt idx="31">
                  <c:v>3.4608000000000003</c:v>
                </c:pt>
                <c:pt idx="32">
                  <c:v>3.5700000000000003</c:v>
                </c:pt>
                <c:pt idx="33">
                  <c:v>3.6767999999999996</c:v>
                </c:pt>
                <c:pt idx="34">
                  <c:v>3.7812000000000001</c:v>
                </c:pt>
                <c:pt idx="35">
                  <c:v>3.8832</c:v>
                </c:pt>
                <c:pt idx="36">
                  <c:v>3.9828000000000001</c:v>
                </c:pt>
                <c:pt idx="37">
                  <c:v>4.08</c:v>
                </c:pt>
                <c:pt idx="38">
                  <c:v>4.1748000000000003</c:v>
                </c:pt>
                <c:pt idx="39">
                  <c:v>4.2671999999999999</c:v>
                </c:pt>
                <c:pt idx="40">
                  <c:v>4.3571999999999997</c:v>
                </c:pt>
                <c:pt idx="41">
                  <c:v>4.4447999999999999</c:v>
                </c:pt>
                <c:pt idx="42">
                  <c:v>4.53</c:v>
                </c:pt>
                <c:pt idx="43">
                  <c:v>4.6128</c:v>
                </c:pt>
                <c:pt idx="44">
                  <c:v>4.6932</c:v>
                </c:pt>
                <c:pt idx="45">
                  <c:v>4.7712000000000003</c:v>
                </c:pt>
                <c:pt idx="46">
                  <c:v>4.8468</c:v>
                </c:pt>
                <c:pt idx="47">
                  <c:v>4.92</c:v>
                </c:pt>
                <c:pt idx="48">
                  <c:v>4.9908000000000001</c:v>
                </c:pt>
                <c:pt idx="49">
                  <c:v>5.0592000000000006</c:v>
                </c:pt>
                <c:pt idx="50">
                  <c:v>5.1251999999999995</c:v>
                </c:pt>
                <c:pt idx="51">
                  <c:v>5.1887999999999996</c:v>
                </c:pt>
                <c:pt idx="52">
                  <c:v>5.25</c:v>
                </c:pt>
                <c:pt idx="53">
                  <c:v>5.3087999999999997</c:v>
                </c:pt>
                <c:pt idx="54">
                  <c:v>5.3651999999999997</c:v>
                </c:pt>
                <c:pt idx="55">
                  <c:v>5.4192</c:v>
                </c:pt>
                <c:pt idx="56">
                  <c:v>5.4707999999999997</c:v>
                </c:pt>
                <c:pt idx="57">
                  <c:v>5.52</c:v>
                </c:pt>
                <c:pt idx="58">
                  <c:v>5.5667999999999997</c:v>
                </c:pt>
                <c:pt idx="59">
                  <c:v>5.6112000000000002</c:v>
                </c:pt>
                <c:pt idx="60">
                  <c:v>5.6532</c:v>
                </c:pt>
                <c:pt idx="61">
                  <c:v>5.6928000000000001</c:v>
                </c:pt>
                <c:pt idx="62">
                  <c:v>5.73</c:v>
                </c:pt>
                <c:pt idx="63">
                  <c:v>5.7648000000000001</c:v>
                </c:pt>
                <c:pt idx="64">
                  <c:v>5.7972000000000001</c:v>
                </c:pt>
                <c:pt idx="65">
                  <c:v>5.8272000000000004</c:v>
                </c:pt>
                <c:pt idx="66">
                  <c:v>5.8548</c:v>
                </c:pt>
                <c:pt idx="67">
                  <c:v>5.88</c:v>
                </c:pt>
                <c:pt idx="68">
                  <c:v>5.9028</c:v>
                </c:pt>
                <c:pt idx="69">
                  <c:v>5.9231999999999996</c:v>
                </c:pt>
                <c:pt idx="70">
                  <c:v>5.9412000000000003</c:v>
                </c:pt>
                <c:pt idx="71">
                  <c:v>5.9568000000000003</c:v>
                </c:pt>
                <c:pt idx="72">
                  <c:v>5.97</c:v>
                </c:pt>
                <c:pt idx="73">
                  <c:v>5.9808000000000003</c:v>
                </c:pt>
                <c:pt idx="74">
                  <c:v>5.9892000000000003</c:v>
                </c:pt>
                <c:pt idx="75">
                  <c:v>5.9951999999999996</c:v>
                </c:pt>
                <c:pt idx="76">
                  <c:v>5.9988000000000001</c:v>
                </c:pt>
                <c:pt idx="77">
                  <c:v>6</c:v>
                </c:pt>
                <c:pt idx="78">
                  <c:v>5.9988000000000001</c:v>
                </c:pt>
                <c:pt idx="79">
                  <c:v>5.9951999999999996</c:v>
                </c:pt>
                <c:pt idx="80">
                  <c:v>5.9892000000000003</c:v>
                </c:pt>
                <c:pt idx="81">
                  <c:v>5.9808000000000003</c:v>
                </c:pt>
                <c:pt idx="82">
                  <c:v>5.97</c:v>
                </c:pt>
                <c:pt idx="83">
                  <c:v>5.9568000000000003</c:v>
                </c:pt>
                <c:pt idx="84">
                  <c:v>5.9412000000000003</c:v>
                </c:pt>
                <c:pt idx="85">
                  <c:v>5.9231999999999996</c:v>
                </c:pt>
                <c:pt idx="86">
                  <c:v>5.9028</c:v>
                </c:pt>
                <c:pt idx="87">
                  <c:v>5.88</c:v>
                </c:pt>
                <c:pt idx="88">
                  <c:v>5.8548</c:v>
                </c:pt>
                <c:pt idx="89">
                  <c:v>5.8272000000000004</c:v>
                </c:pt>
                <c:pt idx="90">
                  <c:v>5.7972000000000001</c:v>
                </c:pt>
                <c:pt idx="91">
                  <c:v>5.7648000000000001</c:v>
                </c:pt>
                <c:pt idx="92">
                  <c:v>5.73</c:v>
                </c:pt>
                <c:pt idx="93">
                  <c:v>5.6928000000000001</c:v>
                </c:pt>
                <c:pt idx="94">
                  <c:v>5.6532</c:v>
                </c:pt>
                <c:pt idx="95">
                  <c:v>5.6112000000000002</c:v>
                </c:pt>
                <c:pt idx="96">
                  <c:v>5.5667999999999997</c:v>
                </c:pt>
                <c:pt idx="97">
                  <c:v>5.52</c:v>
                </c:pt>
                <c:pt idx="98">
                  <c:v>5.4707999999999997</c:v>
                </c:pt>
                <c:pt idx="99">
                  <c:v>5.4192</c:v>
                </c:pt>
                <c:pt idx="100">
                  <c:v>5.3651999999999997</c:v>
                </c:pt>
                <c:pt idx="101">
                  <c:v>5.3087999999999997</c:v>
                </c:pt>
                <c:pt idx="102">
                  <c:v>5.25</c:v>
                </c:pt>
                <c:pt idx="103">
                  <c:v>5.1887999999999996</c:v>
                </c:pt>
                <c:pt idx="104">
                  <c:v>5.1251999999999995</c:v>
                </c:pt>
                <c:pt idx="105">
                  <c:v>5.0592000000000006</c:v>
                </c:pt>
                <c:pt idx="106">
                  <c:v>4.9908000000000001</c:v>
                </c:pt>
                <c:pt idx="107">
                  <c:v>4.92</c:v>
                </c:pt>
                <c:pt idx="108">
                  <c:v>4.8468</c:v>
                </c:pt>
                <c:pt idx="109">
                  <c:v>4.7712000000000003</c:v>
                </c:pt>
                <c:pt idx="110">
                  <c:v>4.6932</c:v>
                </c:pt>
                <c:pt idx="111">
                  <c:v>4.6128</c:v>
                </c:pt>
                <c:pt idx="112">
                  <c:v>4.53</c:v>
                </c:pt>
                <c:pt idx="113">
                  <c:v>4.4447999999999999</c:v>
                </c:pt>
                <c:pt idx="114">
                  <c:v>4.3571999999999997</c:v>
                </c:pt>
                <c:pt idx="115">
                  <c:v>4.2671999999999999</c:v>
                </c:pt>
                <c:pt idx="116">
                  <c:v>4.1748000000000003</c:v>
                </c:pt>
                <c:pt idx="117">
                  <c:v>4.08</c:v>
                </c:pt>
                <c:pt idx="118">
                  <c:v>3.9828000000000001</c:v>
                </c:pt>
                <c:pt idx="119">
                  <c:v>3.8832</c:v>
                </c:pt>
                <c:pt idx="120">
                  <c:v>3.7812000000000001</c:v>
                </c:pt>
                <c:pt idx="121">
                  <c:v>3.6767999999999996</c:v>
                </c:pt>
                <c:pt idx="122">
                  <c:v>3.5700000000000003</c:v>
                </c:pt>
                <c:pt idx="123">
                  <c:v>3.4608000000000003</c:v>
                </c:pt>
                <c:pt idx="124">
                  <c:v>3.3491999999999997</c:v>
                </c:pt>
                <c:pt idx="125">
                  <c:v>3.2352000000000003</c:v>
                </c:pt>
                <c:pt idx="126">
                  <c:v>3.1187999999999994</c:v>
                </c:pt>
                <c:pt idx="1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7-416F-A66B-8F45CD5FE23A}"/>
            </c:ext>
          </c:extLst>
        </c:ser>
        <c:ser>
          <c:idx val="2"/>
          <c:order val="2"/>
          <c:tx>
            <c:strRef>
              <c:f>Лист3!$C$1</c:f>
              <c:strCache>
                <c:ptCount val="1"/>
                <c:pt idx="0">
                  <c:v>y2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Лист3!$C$2:$C$134</c:f>
              <c:numCache>
                <c:formatCode>General</c:formatCode>
                <c:ptCount val="133"/>
                <c:pt idx="47">
                  <c:v>-1</c:v>
                </c:pt>
                <c:pt idx="48">
                  <c:v>-0.80333333333333323</c:v>
                </c:pt>
                <c:pt idx="49">
                  <c:v>-0.61333333333333284</c:v>
                </c:pt>
                <c:pt idx="50">
                  <c:v>-0.43000000000000016</c:v>
                </c:pt>
                <c:pt idx="51">
                  <c:v>-0.25333333333333341</c:v>
                </c:pt>
                <c:pt idx="52">
                  <c:v>-8.3333333333333037E-2</c:v>
                </c:pt>
                <c:pt idx="53">
                  <c:v>8.0000000000000071E-2</c:v>
                </c:pt>
                <c:pt idx="54">
                  <c:v>0.23666666666666702</c:v>
                </c:pt>
                <c:pt idx="55">
                  <c:v>0.38666666666666649</c:v>
                </c:pt>
                <c:pt idx="56">
                  <c:v>0.53</c:v>
                </c:pt>
                <c:pt idx="57">
                  <c:v>0.66666666666666674</c:v>
                </c:pt>
                <c:pt idx="58">
                  <c:v>0.79666666666666686</c:v>
                </c:pt>
                <c:pt idx="59">
                  <c:v>0.91999999999999993</c:v>
                </c:pt>
                <c:pt idx="60">
                  <c:v>1.0366666666666668</c:v>
                </c:pt>
                <c:pt idx="61">
                  <c:v>1.1466666666666665</c:v>
                </c:pt>
                <c:pt idx="62">
                  <c:v>1.25</c:v>
                </c:pt>
                <c:pt idx="63">
                  <c:v>1.3466666666666667</c:v>
                </c:pt>
                <c:pt idx="64">
                  <c:v>1.4366666666666665</c:v>
                </c:pt>
                <c:pt idx="65">
                  <c:v>1.52</c:v>
                </c:pt>
                <c:pt idx="66">
                  <c:v>1.5966666666666667</c:v>
                </c:pt>
                <c:pt idx="67">
                  <c:v>1.6666666666666667</c:v>
                </c:pt>
                <c:pt idx="68">
                  <c:v>1.73</c:v>
                </c:pt>
                <c:pt idx="69">
                  <c:v>1.7866666666666666</c:v>
                </c:pt>
                <c:pt idx="70">
                  <c:v>1.8366666666666667</c:v>
                </c:pt>
                <c:pt idx="71">
                  <c:v>1.88</c:v>
                </c:pt>
                <c:pt idx="72">
                  <c:v>1.9166666666666667</c:v>
                </c:pt>
                <c:pt idx="73">
                  <c:v>1.9466666666666668</c:v>
                </c:pt>
                <c:pt idx="74">
                  <c:v>1.97</c:v>
                </c:pt>
                <c:pt idx="75">
                  <c:v>1.9866666666666666</c:v>
                </c:pt>
                <c:pt idx="76">
                  <c:v>1.9966666666666666</c:v>
                </c:pt>
                <c:pt idx="77">
                  <c:v>2</c:v>
                </c:pt>
                <c:pt idx="78">
                  <c:v>1.9966666666666666</c:v>
                </c:pt>
                <c:pt idx="79">
                  <c:v>1.9866666666666666</c:v>
                </c:pt>
                <c:pt idx="80">
                  <c:v>1.97</c:v>
                </c:pt>
                <c:pt idx="81">
                  <c:v>1.9466666666666668</c:v>
                </c:pt>
                <c:pt idx="82">
                  <c:v>1.9166666666666667</c:v>
                </c:pt>
                <c:pt idx="83">
                  <c:v>1.88</c:v>
                </c:pt>
                <c:pt idx="84">
                  <c:v>1.8366666666666667</c:v>
                </c:pt>
                <c:pt idx="85">
                  <c:v>1.7866666666666666</c:v>
                </c:pt>
                <c:pt idx="86">
                  <c:v>1.73</c:v>
                </c:pt>
                <c:pt idx="87">
                  <c:v>1.6666666666666667</c:v>
                </c:pt>
                <c:pt idx="88">
                  <c:v>1.5966666666666667</c:v>
                </c:pt>
                <c:pt idx="89">
                  <c:v>1.52</c:v>
                </c:pt>
                <c:pt idx="90">
                  <c:v>1.4366666666666665</c:v>
                </c:pt>
                <c:pt idx="91">
                  <c:v>1.3466666666666667</c:v>
                </c:pt>
                <c:pt idx="92">
                  <c:v>1.25</c:v>
                </c:pt>
                <c:pt idx="93">
                  <c:v>1.1466666666666665</c:v>
                </c:pt>
                <c:pt idx="94">
                  <c:v>1.0366666666666668</c:v>
                </c:pt>
                <c:pt idx="95">
                  <c:v>0.91999999999999993</c:v>
                </c:pt>
                <c:pt idx="96">
                  <c:v>0.79666666666666686</c:v>
                </c:pt>
                <c:pt idx="97">
                  <c:v>0.66666666666666674</c:v>
                </c:pt>
                <c:pt idx="98">
                  <c:v>0.53</c:v>
                </c:pt>
                <c:pt idx="99">
                  <c:v>0.38666666666666649</c:v>
                </c:pt>
                <c:pt idx="100">
                  <c:v>0.23666666666666702</c:v>
                </c:pt>
                <c:pt idx="101">
                  <c:v>8.0000000000000071E-2</c:v>
                </c:pt>
                <c:pt idx="102">
                  <c:v>-8.3333333333333037E-2</c:v>
                </c:pt>
                <c:pt idx="103">
                  <c:v>-0.25333333333333341</c:v>
                </c:pt>
                <c:pt idx="104">
                  <c:v>-0.43000000000000016</c:v>
                </c:pt>
                <c:pt idx="105">
                  <c:v>-0.61333333333333284</c:v>
                </c:pt>
                <c:pt idx="106">
                  <c:v>-0.80333333333333323</c:v>
                </c:pt>
                <c:pt idx="10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E7-416F-A66B-8F45CD5FE23A}"/>
            </c:ext>
          </c:extLst>
        </c:ser>
        <c:ser>
          <c:idx val="3"/>
          <c:order val="3"/>
          <c:tx>
            <c:strRef>
              <c:f>Лист3!$D$1</c:f>
              <c:strCache>
                <c:ptCount val="1"/>
                <c:pt idx="0">
                  <c:v>y3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Лист3!$D$2:$D$134</c:f>
              <c:numCache>
                <c:formatCode>General</c:formatCode>
                <c:ptCount val="133"/>
                <c:pt idx="26">
                  <c:v>0.25999999999999623</c:v>
                </c:pt>
                <c:pt idx="27">
                  <c:v>-1</c:v>
                </c:pt>
                <c:pt idx="28">
                  <c:v>-2.1399999999999961</c:v>
                </c:pt>
                <c:pt idx="29">
                  <c:v>-3.1600000000000019</c:v>
                </c:pt>
                <c:pt idx="30">
                  <c:v>-4.0599999999999987</c:v>
                </c:pt>
                <c:pt idx="31">
                  <c:v>-4.8400000000000025</c:v>
                </c:pt>
                <c:pt idx="32">
                  <c:v>-5.5</c:v>
                </c:pt>
                <c:pt idx="33">
                  <c:v>-6.0399999999999983</c:v>
                </c:pt>
                <c:pt idx="34">
                  <c:v>-6.4600000000000009</c:v>
                </c:pt>
                <c:pt idx="35">
                  <c:v>-6.76</c:v>
                </c:pt>
                <c:pt idx="36">
                  <c:v>-6.94</c:v>
                </c:pt>
                <c:pt idx="37">
                  <c:v>-7</c:v>
                </c:pt>
                <c:pt idx="38">
                  <c:v>-6.9399999999999995</c:v>
                </c:pt>
                <c:pt idx="39">
                  <c:v>-6.76</c:v>
                </c:pt>
                <c:pt idx="40">
                  <c:v>-6.4600000000000009</c:v>
                </c:pt>
                <c:pt idx="41">
                  <c:v>-6.0400000000000009</c:v>
                </c:pt>
                <c:pt idx="42">
                  <c:v>-5.5</c:v>
                </c:pt>
                <c:pt idx="43">
                  <c:v>-4.84</c:v>
                </c:pt>
                <c:pt idx="44">
                  <c:v>-4.0599999999999987</c:v>
                </c:pt>
                <c:pt idx="45">
                  <c:v>-3.1600000000000019</c:v>
                </c:pt>
                <c:pt idx="46">
                  <c:v>-2.1400000000000006</c:v>
                </c:pt>
                <c:pt idx="4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E7-416F-A66B-8F45CD5FE23A}"/>
            </c:ext>
          </c:extLst>
        </c:ser>
        <c:ser>
          <c:idx val="4"/>
          <c:order val="4"/>
          <c:tx>
            <c:strRef>
              <c:f>Лист3!$E$1</c:f>
              <c:strCache>
                <c:ptCount val="1"/>
                <c:pt idx="0">
                  <c:v>y4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Лист3!$E$2:$E$134</c:f>
              <c:numCache>
                <c:formatCode>General</c:formatCode>
                <c:ptCount val="133"/>
                <c:pt idx="107">
                  <c:v>-1</c:v>
                </c:pt>
                <c:pt idx="108">
                  <c:v>-2.1400000000000006</c:v>
                </c:pt>
                <c:pt idx="109">
                  <c:v>-3.1600000000000019</c:v>
                </c:pt>
                <c:pt idx="110">
                  <c:v>-4.0599999999999987</c:v>
                </c:pt>
                <c:pt idx="111">
                  <c:v>-4.84</c:v>
                </c:pt>
                <c:pt idx="112">
                  <c:v>-5.5</c:v>
                </c:pt>
                <c:pt idx="113">
                  <c:v>-6.0400000000000009</c:v>
                </c:pt>
                <c:pt idx="114">
                  <c:v>-6.4600000000000009</c:v>
                </c:pt>
                <c:pt idx="115">
                  <c:v>-6.76</c:v>
                </c:pt>
                <c:pt idx="116">
                  <c:v>-6.9399999999999995</c:v>
                </c:pt>
                <c:pt idx="117">
                  <c:v>-7</c:v>
                </c:pt>
                <c:pt idx="118">
                  <c:v>-6.94</c:v>
                </c:pt>
                <c:pt idx="119">
                  <c:v>-6.76</c:v>
                </c:pt>
                <c:pt idx="120">
                  <c:v>-6.4600000000000009</c:v>
                </c:pt>
                <c:pt idx="121">
                  <c:v>-6.0399999999999983</c:v>
                </c:pt>
                <c:pt idx="122">
                  <c:v>-5.5</c:v>
                </c:pt>
                <c:pt idx="123">
                  <c:v>-4.8400000000000025</c:v>
                </c:pt>
                <c:pt idx="124">
                  <c:v>-4.0599999999999987</c:v>
                </c:pt>
                <c:pt idx="125">
                  <c:v>-3.1600000000000019</c:v>
                </c:pt>
                <c:pt idx="126">
                  <c:v>-2.1399999999999961</c:v>
                </c:pt>
                <c:pt idx="127">
                  <c:v>-1</c:v>
                </c:pt>
                <c:pt idx="128">
                  <c:v>0.25999999999999623</c:v>
                </c:pt>
                <c:pt idx="129">
                  <c:v>1.6400000000000023</c:v>
                </c:pt>
                <c:pt idx="130">
                  <c:v>3.139999999999997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E7-416F-A66B-8F45CD5FE23A}"/>
            </c:ext>
          </c:extLst>
        </c:ser>
        <c:ser>
          <c:idx val="5"/>
          <c:order val="5"/>
          <c:tx>
            <c:strRef>
              <c:f>Лист3!$F$1</c:f>
              <c:strCache>
                <c:ptCount val="1"/>
                <c:pt idx="0">
                  <c:v>y5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Лист3!$F$2:$F$134</c:f>
              <c:numCache>
                <c:formatCode>General</c:formatCode>
                <c:ptCount val="133"/>
                <c:pt idx="0">
                  <c:v>2.8900000000000006</c:v>
                </c:pt>
                <c:pt idx="1">
                  <c:v>2.5599999999999987</c:v>
                </c:pt>
                <c:pt idx="2">
                  <c:v>2.25</c:v>
                </c:pt>
                <c:pt idx="3">
                  <c:v>1.9600000000000011</c:v>
                </c:pt>
                <c:pt idx="4">
                  <c:v>1.6899999999999995</c:v>
                </c:pt>
                <c:pt idx="5">
                  <c:v>1.4400000000000004</c:v>
                </c:pt>
                <c:pt idx="6">
                  <c:v>1.2099999999999993</c:v>
                </c:pt>
                <c:pt idx="7">
                  <c:v>1</c:v>
                </c:pt>
                <c:pt idx="8">
                  <c:v>0.81000000000000061</c:v>
                </c:pt>
                <c:pt idx="9">
                  <c:v>0.63999999999999968</c:v>
                </c:pt>
                <c:pt idx="10">
                  <c:v>0.49000000000000027</c:v>
                </c:pt>
                <c:pt idx="11">
                  <c:v>0.3599999999999996</c:v>
                </c:pt>
                <c:pt idx="12">
                  <c:v>0.25</c:v>
                </c:pt>
                <c:pt idx="13">
                  <c:v>0.16000000000000028</c:v>
                </c:pt>
                <c:pt idx="14">
                  <c:v>8.99999999999999E-2</c:v>
                </c:pt>
                <c:pt idx="15">
                  <c:v>4.000000000000007E-2</c:v>
                </c:pt>
                <c:pt idx="16">
                  <c:v>9.9999999999999291E-3</c:v>
                </c:pt>
                <c:pt idx="17">
                  <c:v>0</c:v>
                </c:pt>
                <c:pt idx="18">
                  <c:v>9.9999999999999291E-3</c:v>
                </c:pt>
                <c:pt idx="19">
                  <c:v>4.000000000000007E-2</c:v>
                </c:pt>
                <c:pt idx="20">
                  <c:v>8.99999999999999E-2</c:v>
                </c:pt>
                <c:pt idx="21">
                  <c:v>0.16000000000000028</c:v>
                </c:pt>
                <c:pt idx="22">
                  <c:v>0.25</c:v>
                </c:pt>
                <c:pt idx="23">
                  <c:v>0.3599999999999996</c:v>
                </c:pt>
                <c:pt idx="24">
                  <c:v>0.49000000000000027</c:v>
                </c:pt>
                <c:pt idx="25">
                  <c:v>0.63999999999999968</c:v>
                </c:pt>
                <c:pt idx="26">
                  <c:v>0.81000000000000061</c:v>
                </c:pt>
                <c:pt idx="27">
                  <c:v>1</c:v>
                </c:pt>
                <c:pt idx="28">
                  <c:v>1.2099999999999993</c:v>
                </c:pt>
                <c:pt idx="29">
                  <c:v>1.4400000000000004</c:v>
                </c:pt>
                <c:pt idx="30">
                  <c:v>1.6899999999999995</c:v>
                </c:pt>
                <c:pt idx="31">
                  <c:v>1.9600000000000011</c:v>
                </c:pt>
                <c:pt idx="32">
                  <c:v>2.25</c:v>
                </c:pt>
                <c:pt idx="33">
                  <c:v>2.5599999999999987</c:v>
                </c:pt>
                <c:pt idx="34">
                  <c:v>2.8900000000000006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E7-416F-A66B-8F45CD5FE23A}"/>
            </c:ext>
          </c:extLst>
        </c:ser>
        <c:ser>
          <c:idx val="6"/>
          <c:order val="6"/>
          <c:tx>
            <c:strRef>
              <c:f>Лист3!$G$1</c:f>
              <c:strCache>
                <c:ptCount val="1"/>
                <c:pt idx="0">
                  <c:v>y6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Лист3!$G$2:$G$134</c:f>
              <c:numCache>
                <c:formatCode>General</c:formatCode>
                <c:ptCount val="133"/>
                <c:pt idx="122">
                  <c:v>3</c:v>
                </c:pt>
                <c:pt idx="123">
                  <c:v>5.159999999999993</c:v>
                </c:pt>
                <c:pt idx="124">
                  <c:v>6.8400000000000025</c:v>
                </c:pt>
                <c:pt idx="125">
                  <c:v>8.0399999999999991</c:v>
                </c:pt>
                <c:pt idx="126">
                  <c:v>8.7600000000000016</c:v>
                </c:pt>
                <c:pt idx="127">
                  <c:v>9</c:v>
                </c:pt>
                <c:pt idx="128">
                  <c:v>8.7600000000000016</c:v>
                </c:pt>
                <c:pt idx="129">
                  <c:v>8.0399999999999991</c:v>
                </c:pt>
                <c:pt idx="130">
                  <c:v>6.8400000000000025</c:v>
                </c:pt>
                <c:pt idx="131">
                  <c:v>5.159999999999993</c:v>
                </c:pt>
                <c:pt idx="13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E7-416F-A66B-8F45CD5FE23A}"/>
            </c:ext>
          </c:extLst>
        </c:ser>
        <c:ser>
          <c:idx val="7"/>
          <c:order val="7"/>
          <c:tx>
            <c:strRef>
              <c:f>Лист3!$H$1</c:f>
              <c:strCache>
                <c:ptCount val="1"/>
                <c:pt idx="0">
                  <c:v>y7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Лист3!$H$2:$H$134</c:f>
              <c:numCache>
                <c:formatCode>General</c:formatCode>
                <c:ptCount val="133"/>
                <c:pt idx="2">
                  <c:v>3</c:v>
                </c:pt>
                <c:pt idx="3">
                  <c:v>3.359999999999999</c:v>
                </c:pt>
                <c:pt idx="4">
                  <c:v>3.6400000000000006</c:v>
                </c:pt>
                <c:pt idx="5">
                  <c:v>3.84</c:v>
                </c:pt>
                <c:pt idx="6">
                  <c:v>3.9600000000000004</c:v>
                </c:pt>
                <c:pt idx="7">
                  <c:v>4</c:v>
                </c:pt>
                <c:pt idx="8">
                  <c:v>3.9600000000000004</c:v>
                </c:pt>
                <c:pt idx="9">
                  <c:v>3.84</c:v>
                </c:pt>
                <c:pt idx="10">
                  <c:v>3.6400000000000006</c:v>
                </c:pt>
                <c:pt idx="11">
                  <c:v>3.359999999999999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E7-416F-A66B-8F45CD5FE23A}"/>
            </c:ext>
          </c:extLst>
        </c:ser>
        <c:ser>
          <c:idx val="8"/>
          <c:order val="8"/>
          <c:tx>
            <c:strRef>
              <c:f>Лист3!$I$1</c:f>
              <c:strCache>
                <c:ptCount val="1"/>
                <c:pt idx="0">
                  <c:v>y8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Лист3!$I$2:$I$134</c:f>
              <c:numCache>
                <c:formatCode>General</c:formatCode>
                <c:ptCount val="133"/>
                <c:pt idx="22">
                  <c:v>3</c:v>
                </c:pt>
                <c:pt idx="23">
                  <c:v>3.359999999999999</c:v>
                </c:pt>
                <c:pt idx="24">
                  <c:v>3.6400000000000006</c:v>
                </c:pt>
                <c:pt idx="25">
                  <c:v>3.84</c:v>
                </c:pt>
                <c:pt idx="26">
                  <c:v>3.9600000000000004</c:v>
                </c:pt>
                <c:pt idx="27">
                  <c:v>4</c:v>
                </c:pt>
                <c:pt idx="28">
                  <c:v>3.9600000000000004</c:v>
                </c:pt>
                <c:pt idx="29">
                  <c:v>3.84</c:v>
                </c:pt>
                <c:pt idx="30">
                  <c:v>3.6400000000000006</c:v>
                </c:pt>
                <c:pt idx="31">
                  <c:v>3.359999999999999</c:v>
                </c:pt>
                <c:pt idx="3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E7-416F-A66B-8F45CD5FE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814640"/>
        <c:axId val="692813200"/>
      </c:lineChart>
      <c:catAx>
        <c:axId val="692814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813200"/>
        <c:crosses val="autoZero"/>
        <c:auto val="1"/>
        <c:lblAlgn val="ctr"/>
        <c:lblOffset val="100"/>
        <c:noMultiLvlLbl val="0"/>
      </c:catAx>
      <c:valAx>
        <c:axId val="69281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81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0</xdr:row>
      <xdr:rowOff>61912</xdr:rowOff>
    </xdr:from>
    <xdr:to>
      <xdr:col>16</xdr:col>
      <xdr:colOff>447675</xdr:colOff>
      <xdr:row>14</xdr:row>
      <xdr:rowOff>138112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7434CE6-B946-67CB-74F0-BD98871FB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18</xdr:col>
      <xdr:colOff>304800</xdr:colOff>
      <xdr:row>14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7D01C9-DE83-5F3A-639B-8E253A20F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180975</xdr:rowOff>
    </xdr:from>
    <xdr:to>
      <xdr:col>20</xdr:col>
      <xdr:colOff>219075</xdr:colOff>
      <xdr:row>32</xdr:row>
      <xdr:rowOff>128587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ACB98EF-6668-76CD-70C1-A95053384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385C-7A78-4BF4-96EE-7091992AD26E}">
  <sheetPr codeName="Лист1"/>
  <dimension ref="A1:I20"/>
  <sheetViews>
    <sheetView tabSelected="1" workbookViewId="0">
      <selection activeCell="G26" sqref="G26"/>
    </sheetView>
  </sheetViews>
  <sheetFormatPr defaultRowHeight="15" x14ac:dyDescent="0.25"/>
  <cols>
    <col min="1" max="1" width="9.140625" style="1"/>
    <col min="2" max="2" width="7.7109375" style="1" customWidth="1"/>
    <col min="3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-9</v>
      </c>
    </row>
    <row r="3" spans="1:9" x14ac:dyDescent="0.25">
      <c r="A3" s="1">
        <v>-8</v>
      </c>
    </row>
    <row r="4" spans="1:9" x14ac:dyDescent="0.25">
      <c r="A4" s="1">
        <v>-7</v>
      </c>
    </row>
    <row r="5" spans="1:9" x14ac:dyDescent="0.25">
      <c r="A5" s="1">
        <v>-6</v>
      </c>
      <c r="E5" s="1">
        <f xml:space="preserve"> -1/16 *((A5+2)^2) +5</f>
        <v>4</v>
      </c>
      <c r="F5" s="1">
        <f xml:space="preserve"> A5 +10</f>
        <v>4</v>
      </c>
      <c r="H5" s="1">
        <f t="shared" ref="H5:H12" si="0" xml:space="preserve"> 0.5 * A5 - 1</f>
        <v>-4</v>
      </c>
    </row>
    <row r="6" spans="1:9" x14ac:dyDescent="0.25">
      <c r="A6" s="1">
        <v>-5</v>
      </c>
      <c r="E6" s="1">
        <f xml:space="preserve"> -1/16 *((A6+2)^2) +5</f>
        <v>4.4375</v>
      </c>
      <c r="F6" s="1">
        <f xml:space="preserve"> A6 + 10</f>
        <v>5</v>
      </c>
      <c r="H6" s="1">
        <f t="shared" si="0"/>
        <v>-3.5</v>
      </c>
      <c r="I6" s="1">
        <f t="shared" ref="I6:I13" si="1" xml:space="preserve"> 0.5 * A6- 2.5</f>
        <v>-5</v>
      </c>
    </row>
    <row r="7" spans="1:9" x14ac:dyDescent="0.25">
      <c r="A7" s="1">
        <v>-4</v>
      </c>
      <c r="D7" s="1">
        <f xml:space="preserve"> -0.5*((A7+2)^2) +8</f>
        <v>6</v>
      </c>
      <c r="E7" s="1">
        <f xml:space="preserve"> -1/16 *((A7+2)^2) +5</f>
        <v>4.75</v>
      </c>
      <c r="F7" s="1">
        <f xml:space="preserve"> A7 + 10</f>
        <v>6</v>
      </c>
      <c r="H7" s="1">
        <f t="shared" si="0"/>
        <v>-3</v>
      </c>
      <c r="I7" s="1">
        <f t="shared" si="1"/>
        <v>-4.5</v>
      </c>
    </row>
    <row r="8" spans="1:9" x14ac:dyDescent="0.25">
      <c r="A8" s="1">
        <v>-3</v>
      </c>
      <c r="D8" s="1">
        <f xml:space="preserve"> -0.5*((A8+2)^2) +8</f>
        <v>7.5</v>
      </c>
      <c r="E8" s="1">
        <f xml:space="preserve"> -1/16 *((A8+2)^2) +5</f>
        <v>4.9375</v>
      </c>
      <c r="H8" s="1">
        <f t="shared" si="0"/>
        <v>-2.5</v>
      </c>
      <c r="I8" s="1">
        <f t="shared" si="1"/>
        <v>-4</v>
      </c>
    </row>
    <row r="9" spans="1:9" x14ac:dyDescent="0.25">
      <c r="A9" s="1">
        <v>-2</v>
      </c>
      <c r="C9" s="1">
        <f>1/9* ((A9-7)^2) -4</f>
        <v>5</v>
      </c>
      <c r="D9" s="1">
        <f xml:space="preserve"> -0.5*((A9+2)^2) +8</f>
        <v>8</v>
      </c>
      <c r="E9" s="1">
        <f xml:space="preserve"> -1/16 *((A9+2)^2) +5</f>
        <v>5</v>
      </c>
      <c r="H9" s="1">
        <f t="shared" si="0"/>
        <v>-2</v>
      </c>
      <c r="I9" s="1">
        <f t="shared" si="1"/>
        <v>-3.5</v>
      </c>
    </row>
    <row r="10" spans="1:9" x14ac:dyDescent="0.25">
      <c r="A10" s="1">
        <v>-1</v>
      </c>
      <c r="C10" s="1">
        <f t="shared" ref="C10:C18" si="2">1/9* ((A10-7)^2) -4</f>
        <v>3.1111111111111107</v>
      </c>
      <c r="D10" s="1">
        <f xml:space="preserve"> -0.5*((A10+2)^2) +8</f>
        <v>7.5</v>
      </c>
      <c r="H10" s="1">
        <f t="shared" si="0"/>
        <v>-1.5</v>
      </c>
      <c r="I10" s="1">
        <f t="shared" si="1"/>
        <v>-3</v>
      </c>
    </row>
    <row r="11" spans="1:9" x14ac:dyDescent="0.25">
      <c r="A11" s="1">
        <v>0</v>
      </c>
      <c r="B11" s="1">
        <f>(-4/27) *( A11^2) +6</f>
        <v>6</v>
      </c>
      <c r="C11" s="1">
        <f t="shared" si="2"/>
        <v>1.4444444444444438</v>
      </c>
      <c r="D11" s="1">
        <f xml:space="preserve"> -0.5*((A11+2)^2) +8</f>
        <v>6</v>
      </c>
      <c r="H11" s="1">
        <f t="shared" si="0"/>
        <v>-1</v>
      </c>
      <c r="I11" s="1">
        <f t="shared" si="1"/>
        <v>-2.5</v>
      </c>
    </row>
    <row r="12" spans="1:9" x14ac:dyDescent="0.25">
      <c r="A12" s="1">
        <v>1</v>
      </c>
      <c r="B12" s="1">
        <f t="shared" ref="B12:B20" si="3">(-4/27) *( A12^2) +6</f>
        <v>5.8518518518518521</v>
      </c>
      <c r="C12" s="1">
        <f t="shared" si="2"/>
        <v>0</v>
      </c>
      <c r="H12" s="1">
        <f t="shared" si="0"/>
        <v>-0.5</v>
      </c>
      <c r="I12" s="1">
        <f t="shared" si="1"/>
        <v>-2</v>
      </c>
    </row>
    <row r="13" spans="1:9" x14ac:dyDescent="0.25">
      <c r="A13" s="1">
        <v>2</v>
      </c>
      <c r="B13" s="1">
        <f t="shared" si="3"/>
        <v>5.4074074074074074</v>
      </c>
      <c r="C13" s="1">
        <f t="shared" si="2"/>
        <v>-1.2222222222222223</v>
      </c>
      <c r="I13" s="1">
        <f t="shared" si="1"/>
        <v>-1.5</v>
      </c>
    </row>
    <row r="14" spans="1:9" x14ac:dyDescent="0.25">
      <c r="A14" s="1">
        <v>3</v>
      </c>
      <c r="B14" s="1">
        <f t="shared" si="3"/>
        <v>4.666666666666667</v>
      </c>
      <c r="C14" s="1">
        <f t="shared" si="2"/>
        <v>-2.2222222222222223</v>
      </c>
    </row>
    <row r="15" spans="1:9" x14ac:dyDescent="0.25">
      <c r="A15" s="1">
        <v>4</v>
      </c>
      <c r="B15" s="1">
        <f t="shared" si="3"/>
        <v>3.6296296296296298</v>
      </c>
      <c r="C15" s="1">
        <f t="shared" si="2"/>
        <v>-3</v>
      </c>
    </row>
    <row r="16" spans="1:9" x14ac:dyDescent="0.25">
      <c r="A16" s="1">
        <v>5</v>
      </c>
      <c r="B16" s="1">
        <f t="shared" si="3"/>
        <v>2.2962962962962967</v>
      </c>
      <c r="C16" s="1">
        <f t="shared" si="2"/>
        <v>-3.5555555555555554</v>
      </c>
    </row>
    <row r="17" spans="1:7" x14ac:dyDescent="0.25">
      <c r="A17" s="1">
        <v>6</v>
      </c>
      <c r="B17" s="1">
        <f t="shared" si="3"/>
        <v>0.66666666666666696</v>
      </c>
      <c r="C17" s="1">
        <f t="shared" si="2"/>
        <v>-3.8888888888888888</v>
      </c>
    </row>
    <row r="18" spans="1:7" x14ac:dyDescent="0.25">
      <c r="A18" s="1">
        <v>7</v>
      </c>
      <c r="B18" s="1">
        <f t="shared" si="3"/>
        <v>-1.2592592592592586</v>
      </c>
      <c r="C18" s="1">
        <f t="shared" si="2"/>
        <v>-4</v>
      </c>
      <c r="G18" s="1">
        <f xml:space="preserve"> -A18 + 3</f>
        <v>-4</v>
      </c>
    </row>
    <row r="19" spans="1:7" x14ac:dyDescent="0.25">
      <c r="A19" s="1">
        <v>8</v>
      </c>
      <c r="B19" s="1">
        <f t="shared" si="3"/>
        <v>-3.481481481481481</v>
      </c>
      <c r="G19" s="1">
        <f xml:space="preserve"> -A19 + 3</f>
        <v>-5</v>
      </c>
    </row>
    <row r="20" spans="1:7" x14ac:dyDescent="0.25">
      <c r="A20" s="1">
        <v>9</v>
      </c>
      <c r="B20" s="1">
        <f t="shared" si="3"/>
        <v>-6</v>
      </c>
      <c r="G20" s="1">
        <f xml:space="preserve"> -A20 + 3</f>
        <v>-6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4419-9D84-4A18-9A36-C9A3C7F26768}">
  <sheetPr codeName="Лист2"/>
  <dimension ref="A1:J23"/>
  <sheetViews>
    <sheetView workbookViewId="0">
      <selection activeCell="P16" sqref="P16"/>
    </sheetView>
  </sheetViews>
  <sheetFormatPr defaultRowHeight="15" x14ac:dyDescent="0.25"/>
  <cols>
    <col min="1" max="9" width="9.140625" style="3"/>
    <col min="10" max="10" width="9.5703125" style="3" bestFit="1" customWidth="1"/>
    <col min="11" max="16384" width="9.140625" style="3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5">
      <c r="A2" s="2">
        <v>-9</v>
      </c>
      <c r="B2" s="2"/>
      <c r="C2" s="2"/>
      <c r="D2" s="2" cm="1">
        <f t="array" ref="D2:D6">-0.5*((A2:A6+7)^2) + 3</f>
        <v>1</v>
      </c>
      <c r="E2" s="2"/>
      <c r="F2" s="2"/>
      <c r="G2" s="2"/>
      <c r="H2" s="2" cm="1">
        <f t="array" ref="H2:H6" xml:space="preserve"> -A2:A6-8</f>
        <v>1</v>
      </c>
      <c r="I2" s="2"/>
    </row>
    <row r="3" spans="1:10" x14ac:dyDescent="0.25">
      <c r="A3" s="2">
        <v>-8</v>
      </c>
      <c r="B3" s="2"/>
      <c r="C3" s="2"/>
      <c r="D3" s="2">
        <v>2.5</v>
      </c>
      <c r="E3" s="2"/>
      <c r="F3" s="2"/>
      <c r="G3" s="2"/>
      <c r="H3" s="2">
        <v>0</v>
      </c>
      <c r="I3" s="2"/>
    </row>
    <row r="4" spans="1:10" x14ac:dyDescent="0.25">
      <c r="A4" s="2">
        <v>-7</v>
      </c>
      <c r="B4" s="2"/>
      <c r="C4" s="2"/>
      <c r="D4" s="2">
        <v>3</v>
      </c>
      <c r="E4" s="2"/>
      <c r="F4" s="2"/>
      <c r="G4" s="2"/>
      <c r="H4" s="2">
        <v>-1</v>
      </c>
      <c r="I4" s="2"/>
    </row>
    <row r="5" spans="1:10" x14ac:dyDescent="0.25">
      <c r="A5" s="2">
        <v>-6</v>
      </c>
      <c r="B5" s="2"/>
      <c r="C5" s="2"/>
      <c r="D5" s="2">
        <v>2.5</v>
      </c>
      <c r="E5" s="2"/>
      <c r="F5" s="2"/>
      <c r="G5" s="2"/>
      <c r="H5" s="2">
        <v>-2</v>
      </c>
      <c r="I5" s="2"/>
    </row>
    <row r="6" spans="1:10" x14ac:dyDescent="0.25">
      <c r="A6" s="2">
        <v>-5</v>
      </c>
      <c r="B6" s="2" cm="1">
        <f t="array" ref="B6:B15" xml:space="preserve"> -1/8 *( A6:A15^2) + 5</f>
        <v>1.875</v>
      </c>
      <c r="C6" s="2"/>
      <c r="D6" s="2">
        <v>1</v>
      </c>
      <c r="E6" s="2"/>
      <c r="F6" s="2" cm="1">
        <f t="array" ref="F6:F10" xml:space="preserve"> (A6:A10+ 3)^2 -7</f>
        <v>-3</v>
      </c>
      <c r="G6" s="2"/>
      <c r="H6" s="2">
        <v>-3</v>
      </c>
      <c r="I6" s="2"/>
    </row>
    <row r="7" spans="1:10" x14ac:dyDescent="0.25">
      <c r="A7" s="2">
        <v>-4</v>
      </c>
      <c r="B7" s="2">
        <v>3</v>
      </c>
      <c r="C7" s="2"/>
      <c r="D7" s="2"/>
      <c r="E7" s="2"/>
      <c r="F7" s="2">
        <v>-6</v>
      </c>
      <c r="G7" s="2"/>
      <c r="H7" s="2"/>
      <c r="I7" s="2"/>
    </row>
    <row r="8" spans="1:10" x14ac:dyDescent="0.25">
      <c r="A8" s="2">
        <v>-3</v>
      </c>
      <c r="B8" s="2">
        <v>3.875</v>
      </c>
      <c r="C8" s="2"/>
      <c r="D8" s="2"/>
      <c r="E8" s="2"/>
      <c r="F8" s="2">
        <v>-7</v>
      </c>
      <c r="G8" s="2"/>
      <c r="H8" s="2"/>
      <c r="I8" s="2"/>
    </row>
    <row r="9" spans="1:10" x14ac:dyDescent="0.25">
      <c r="A9" s="2">
        <v>-2</v>
      </c>
      <c r="B9" s="2">
        <v>4.5</v>
      </c>
      <c r="C9" s="2"/>
      <c r="D9" s="2"/>
      <c r="E9" s="2"/>
      <c r="F9" s="2">
        <v>-6</v>
      </c>
      <c r="G9" s="2"/>
      <c r="H9" s="2"/>
      <c r="I9" s="2"/>
    </row>
    <row r="10" spans="1:10" x14ac:dyDescent="0.25">
      <c r="A10" s="2">
        <v>-1</v>
      </c>
      <c r="B10" s="2">
        <v>4.875</v>
      </c>
      <c r="C10" s="2"/>
      <c r="D10" s="2"/>
      <c r="E10" s="2"/>
      <c r="F10" s="2">
        <v>-3</v>
      </c>
      <c r="G10" s="2"/>
      <c r="H10" s="2"/>
      <c r="I10" s="2"/>
      <c r="J10" s="3" cm="1">
        <f t="array" ref="J10:J13" xml:space="preserve"> 4/9 * (A10:A13-0.5)^2 -4</f>
        <v>-3</v>
      </c>
    </row>
    <row r="11" spans="1:10" x14ac:dyDescent="0.25">
      <c r="A11" s="2">
        <v>0</v>
      </c>
      <c r="B11" s="2">
        <v>5</v>
      </c>
      <c r="C11" s="2"/>
      <c r="D11" s="2"/>
      <c r="E11" s="2"/>
      <c r="F11" s="2"/>
      <c r="G11" s="2"/>
      <c r="H11" s="2"/>
      <c r="I11" s="2"/>
      <c r="J11" s="3">
        <v>-3.8888888888888888</v>
      </c>
    </row>
    <row r="12" spans="1:10" x14ac:dyDescent="0.25">
      <c r="A12" s="2">
        <v>1</v>
      </c>
      <c r="B12" s="2">
        <v>4.875</v>
      </c>
      <c r="C12" s="2"/>
      <c r="D12" s="2"/>
      <c r="E12" s="2"/>
      <c r="F12" s="2"/>
      <c r="G12" s="2"/>
      <c r="H12" s="2"/>
      <c r="I12" s="2"/>
      <c r="J12" s="3">
        <v>-3.8888888888888888</v>
      </c>
    </row>
    <row r="13" spans="1:10" x14ac:dyDescent="0.25">
      <c r="A13" s="2">
        <v>2</v>
      </c>
      <c r="B13" s="2">
        <v>4.5</v>
      </c>
      <c r="C13" s="2"/>
      <c r="D13" s="2"/>
      <c r="E13" s="2"/>
      <c r="F13" s="2"/>
      <c r="G13" s="2" cm="1">
        <f t="array" ref="G13:G17" xml:space="preserve"> (A13:A17-4)^2 - 7</f>
        <v>-3</v>
      </c>
      <c r="H13" s="2"/>
      <c r="I13" s="2"/>
      <c r="J13" s="3">
        <v>-3</v>
      </c>
    </row>
    <row r="14" spans="1:10" x14ac:dyDescent="0.25">
      <c r="A14" s="2">
        <v>3</v>
      </c>
      <c r="B14" s="2">
        <v>3.875</v>
      </c>
      <c r="C14" s="2"/>
      <c r="D14" s="2"/>
      <c r="E14" s="2"/>
      <c r="F14" s="2"/>
      <c r="G14" s="2">
        <v>-6</v>
      </c>
      <c r="H14" s="2"/>
      <c r="I14" s="2"/>
    </row>
    <row r="15" spans="1:10" x14ac:dyDescent="0.25">
      <c r="A15" s="2">
        <v>4</v>
      </c>
      <c r="B15" s="2">
        <v>3</v>
      </c>
      <c r="C15" s="2" cm="1">
        <f t="array" ref="C15:C23">-5/16 * ((A15:A23 - 8)^2) + 8</f>
        <v>3</v>
      </c>
      <c r="D15" s="2"/>
      <c r="E15" s="2"/>
      <c r="F15" s="2"/>
      <c r="G15" s="2">
        <v>-7</v>
      </c>
      <c r="H15" s="2"/>
      <c r="I15" s="2"/>
    </row>
    <row r="16" spans="1:10" x14ac:dyDescent="0.25">
      <c r="A16" s="2">
        <v>5</v>
      </c>
      <c r="B16" s="2"/>
      <c r="C16" s="2">
        <v>5.1875</v>
      </c>
      <c r="D16" s="2"/>
      <c r="E16" s="2"/>
      <c r="F16" s="2"/>
      <c r="G16" s="2">
        <v>-6</v>
      </c>
      <c r="H16" s="2"/>
      <c r="I16" s="2"/>
    </row>
    <row r="17" spans="1:9" x14ac:dyDescent="0.25">
      <c r="A17" s="2">
        <v>6</v>
      </c>
      <c r="B17" s="2"/>
      <c r="C17" s="2">
        <v>6.75</v>
      </c>
      <c r="D17" s="2"/>
      <c r="E17" s="2"/>
      <c r="F17" s="2"/>
      <c r="G17" s="2">
        <v>-3</v>
      </c>
      <c r="H17" s="2"/>
      <c r="I17" s="2" cm="1">
        <f t="array" ref="I17:I19" xml:space="preserve"> 3*(A17:A19 - 7)</f>
        <v>-3</v>
      </c>
    </row>
    <row r="18" spans="1:9" x14ac:dyDescent="0.25">
      <c r="A18" s="2">
        <v>7</v>
      </c>
      <c r="B18" s="2"/>
      <c r="C18" s="2">
        <v>7.6875</v>
      </c>
      <c r="D18" s="2"/>
      <c r="E18" s="2"/>
      <c r="F18" s="2"/>
      <c r="G18" s="2"/>
      <c r="H18" s="2"/>
      <c r="I18" s="2">
        <v>0</v>
      </c>
    </row>
    <row r="19" spans="1:9" x14ac:dyDescent="0.25">
      <c r="A19" s="2">
        <v>8</v>
      </c>
      <c r="B19" s="2"/>
      <c r="C19" s="2">
        <v>8</v>
      </c>
      <c r="D19" s="2"/>
      <c r="E19" s="3" cm="1">
        <f t="array" ref="E19:E23">0.5*((A19:A23-10)^2) + 1</f>
        <v>3</v>
      </c>
      <c r="F19" s="2"/>
      <c r="G19" s="2"/>
      <c r="H19" s="2"/>
      <c r="I19" s="2">
        <v>3</v>
      </c>
    </row>
    <row r="20" spans="1:9" x14ac:dyDescent="0.25">
      <c r="A20" s="2">
        <v>9</v>
      </c>
      <c r="B20" s="2"/>
      <c r="C20" s="2">
        <v>7.6875</v>
      </c>
      <c r="D20" s="2"/>
      <c r="E20" s="3">
        <v>1.5</v>
      </c>
      <c r="F20" s="2"/>
      <c r="G20" s="2"/>
      <c r="H20" s="2"/>
      <c r="I20" s="2"/>
    </row>
    <row r="21" spans="1:9" x14ac:dyDescent="0.25">
      <c r="A21" s="2">
        <v>10</v>
      </c>
      <c r="C21" s="3">
        <v>6.75</v>
      </c>
      <c r="E21" s="3">
        <v>1</v>
      </c>
    </row>
    <row r="22" spans="1:9" x14ac:dyDescent="0.25">
      <c r="A22" s="2">
        <v>11</v>
      </c>
      <c r="C22" s="3">
        <v>5.1875</v>
      </c>
      <c r="E22" s="3">
        <v>1.5</v>
      </c>
    </row>
    <row r="23" spans="1:9" x14ac:dyDescent="0.25">
      <c r="A23" s="2">
        <v>12</v>
      </c>
      <c r="C23" s="3">
        <v>3</v>
      </c>
      <c r="E23" s="3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F5B1-F455-4BA9-975B-D88F3F474E6A}">
  <sheetPr codeName="Лист3"/>
  <dimension ref="A1:J134"/>
  <sheetViews>
    <sheetView topLeftCell="A9" zoomScale="70" zoomScaleNormal="70" workbookViewId="0">
      <selection activeCell="H17" sqref="H17"/>
    </sheetView>
  </sheetViews>
  <sheetFormatPr defaultRowHeight="15" x14ac:dyDescent="0.25"/>
  <cols>
    <col min="1" max="16384" width="9.140625" style="5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/>
    </row>
    <row r="2" spans="1:10" x14ac:dyDescent="0.25">
      <c r="A2" s="4">
        <v>-7.7</v>
      </c>
      <c r="F2" s="4">
        <f>(A2+6)^2</f>
        <v>2.8900000000000006</v>
      </c>
    </row>
    <row r="3" spans="1:10" x14ac:dyDescent="0.25">
      <c r="A3" s="5">
        <v>-7.6</v>
      </c>
      <c r="F3" s="4">
        <f>(A3+6)^2</f>
        <v>2.5599999999999987</v>
      </c>
    </row>
    <row r="4" spans="1:10" x14ac:dyDescent="0.25">
      <c r="A4" s="4">
        <v>-7.5</v>
      </c>
      <c r="F4" s="4">
        <f t="shared" ref="F4:F36" si="0">(A4+6)^2</f>
        <v>2.25</v>
      </c>
      <c r="H4" s="4">
        <f>-4*(A4+7)^2+4</f>
        <v>3</v>
      </c>
    </row>
    <row r="5" spans="1:10" x14ac:dyDescent="0.25">
      <c r="A5" s="5">
        <v>-7.4</v>
      </c>
      <c r="F5" s="4">
        <f t="shared" si="0"/>
        <v>1.9600000000000011</v>
      </c>
      <c r="H5" s="4">
        <f t="shared" ref="H5:H13" si="1">-4*(A5+7)^2+4</f>
        <v>3.359999999999999</v>
      </c>
    </row>
    <row r="6" spans="1:10" x14ac:dyDescent="0.25">
      <c r="A6" s="4">
        <v>-7.3</v>
      </c>
      <c r="F6" s="4">
        <f t="shared" si="0"/>
        <v>1.6899999999999995</v>
      </c>
      <c r="H6" s="4">
        <f t="shared" si="1"/>
        <v>3.6400000000000006</v>
      </c>
    </row>
    <row r="7" spans="1:10" x14ac:dyDescent="0.25">
      <c r="A7" s="5">
        <v>-7.2</v>
      </c>
      <c r="F7" s="4">
        <f t="shared" si="0"/>
        <v>1.4400000000000004</v>
      </c>
      <c r="H7" s="4">
        <f t="shared" si="1"/>
        <v>3.84</v>
      </c>
    </row>
    <row r="8" spans="1:10" x14ac:dyDescent="0.25">
      <c r="A8" s="4">
        <v>-7.1</v>
      </c>
      <c r="F8" s="4">
        <f t="shared" si="0"/>
        <v>1.2099999999999993</v>
      </c>
      <c r="H8" s="4">
        <f t="shared" si="1"/>
        <v>3.9600000000000004</v>
      </c>
    </row>
    <row r="9" spans="1:10" x14ac:dyDescent="0.25">
      <c r="A9" s="5">
        <v>-7</v>
      </c>
      <c r="B9" s="4"/>
      <c r="C9" s="4"/>
      <c r="D9" s="4"/>
      <c r="E9" s="4"/>
      <c r="F9" s="4">
        <f t="shared" si="0"/>
        <v>1</v>
      </c>
      <c r="G9" s="4"/>
      <c r="H9" s="4">
        <f t="shared" si="1"/>
        <v>4</v>
      </c>
      <c r="I9" s="4"/>
    </row>
    <row r="10" spans="1:10" x14ac:dyDescent="0.25">
      <c r="A10" s="4">
        <v>-6.9</v>
      </c>
      <c r="B10" s="4"/>
      <c r="C10" s="4"/>
      <c r="D10" s="4"/>
      <c r="E10" s="4"/>
      <c r="F10" s="4">
        <f t="shared" si="0"/>
        <v>0.81000000000000061</v>
      </c>
      <c r="G10" s="4"/>
      <c r="H10" s="4">
        <f t="shared" si="1"/>
        <v>3.9600000000000004</v>
      </c>
      <c r="I10" s="4"/>
    </row>
    <row r="11" spans="1:10" x14ac:dyDescent="0.25">
      <c r="A11" s="5">
        <v>-6.8</v>
      </c>
      <c r="B11" s="4"/>
      <c r="C11" s="4"/>
      <c r="D11" s="4"/>
      <c r="E11" s="4"/>
      <c r="F11" s="4">
        <f t="shared" si="0"/>
        <v>0.63999999999999968</v>
      </c>
      <c r="G11" s="4"/>
      <c r="H11" s="4">
        <f t="shared" si="1"/>
        <v>3.84</v>
      </c>
      <c r="I11" s="4"/>
    </row>
    <row r="12" spans="1:10" x14ac:dyDescent="0.25">
      <c r="A12" s="4">
        <v>-6.7</v>
      </c>
      <c r="B12" s="4"/>
      <c r="C12" s="4"/>
      <c r="D12" s="4"/>
      <c r="E12" s="4"/>
      <c r="F12" s="4">
        <f t="shared" si="0"/>
        <v>0.49000000000000027</v>
      </c>
      <c r="G12" s="4"/>
      <c r="H12" s="4">
        <f t="shared" si="1"/>
        <v>3.6400000000000006</v>
      </c>
      <c r="I12" s="4"/>
    </row>
    <row r="13" spans="1:10" x14ac:dyDescent="0.25">
      <c r="A13" s="5">
        <v>-6.6</v>
      </c>
      <c r="B13" s="4"/>
      <c r="C13" s="4"/>
      <c r="D13" s="4"/>
      <c r="E13" s="4"/>
      <c r="F13" s="4">
        <f t="shared" si="0"/>
        <v>0.3599999999999996</v>
      </c>
      <c r="G13" s="4"/>
      <c r="H13" s="4">
        <f t="shared" si="1"/>
        <v>3.359999999999999</v>
      </c>
      <c r="I13" s="4"/>
    </row>
    <row r="14" spans="1:10" x14ac:dyDescent="0.25">
      <c r="A14" s="4">
        <v>-6.5</v>
      </c>
      <c r="B14" s="4"/>
      <c r="C14" s="4"/>
      <c r="D14" s="4"/>
      <c r="E14" s="4"/>
      <c r="F14" s="4">
        <f t="shared" si="0"/>
        <v>0.25</v>
      </c>
      <c r="G14" s="4"/>
      <c r="H14" s="4">
        <f>-4*(A14+7)^2+4</f>
        <v>3</v>
      </c>
      <c r="I14" s="4"/>
    </row>
    <row r="15" spans="1:10" x14ac:dyDescent="0.25">
      <c r="A15" s="5">
        <v>-6.4</v>
      </c>
      <c r="B15" s="4"/>
      <c r="C15" s="4"/>
      <c r="D15" s="4"/>
      <c r="E15" s="4"/>
      <c r="F15" s="4">
        <f t="shared" si="0"/>
        <v>0.16000000000000028</v>
      </c>
      <c r="G15" s="4"/>
      <c r="H15" s="4"/>
      <c r="I15" s="4"/>
    </row>
    <row r="16" spans="1:10" x14ac:dyDescent="0.25">
      <c r="A16" s="4">
        <v>-6.3</v>
      </c>
      <c r="B16" s="4"/>
      <c r="C16" s="4"/>
      <c r="D16" s="4"/>
      <c r="E16" s="4"/>
      <c r="F16" s="4">
        <f t="shared" si="0"/>
        <v>8.99999999999999E-2</v>
      </c>
      <c r="G16" s="4"/>
      <c r="H16" s="4"/>
      <c r="I16" s="4"/>
    </row>
    <row r="17" spans="1:9" x14ac:dyDescent="0.25">
      <c r="A17" s="5">
        <v>-6.2</v>
      </c>
      <c r="B17" s="4"/>
      <c r="C17" s="4"/>
      <c r="D17" s="4"/>
      <c r="E17" s="4"/>
      <c r="F17" s="4">
        <f t="shared" si="0"/>
        <v>4.000000000000007E-2</v>
      </c>
      <c r="G17" s="4"/>
      <c r="H17" s="4"/>
      <c r="I17" s="4"/>
    </row>
    <row r="18" spans="1:9" x14ac:dyDescent="0.25">
      <c r="A18" s="4">
        <v>-6.1</v>
      </c>
      <c r="B18" s="4"/>
      <c r="C18" s="4"/>
      <c r="D18" s="4"/>
      <c r="E18" s="4"/>
      <c r="F18" s="4">
        <f t="shared" si="0"/>
        <v>9.9999999999999291E-3</v>
      </c>
      <c r="G18" s="4"/>
      <c r="H18" s="4"/>
      <c r="I18" s="4"/>
    </row>
    <row r="19" spans="1:9" x14ac:dyDescent="0.25">
      <c r="A19" s="5">
        <v>-6</v>
      </c>
      <c r="B19" s="4"/>
      <c r="C19" s="4"/>
      <c r="D19" s="4"/>
      <c r="E19" s="4"/>
      <c r="F19" s="4">
        <f t="shared" si="0"/>
        <v>0</v>
      </c>
      <c r="G19" s="4"/>
      <c r="H19" s="4"/>
      <c r="I19" s="4"/>
    </row>
    <row r="20" spans="1:9" x14ac:dyDescent="0.25">
      <c r="A20" s="4">
        <v>-5.9</v>
      </c>
      <c r="B20" s="4"/>
      <c r="C20" s="4"/>
      <c r="D20" s="4"/>
      <c r="E20" s="4"/>
      <c r="F20" s="4">
        <f t="shared" si="0"/>
        <v>9.9999999999999291E-3</v>
      </c>
      <c r="G20" s="4"/>
      <c r="H20" s="4"/>
      <c r="I20" s="4"/>
    </row>
    <row r="21" spans="1:9" x14ac:dyDescent="0.25">
      <c r="A21" s="5">
        <v>-5.8</v>
      </c>
      <c r="B21" s="4"/>
      <c r="C21" s="4"/>
      <c r="D21" s="4"/>
      <c r="E21" s="4"/>
      <c r="F21" s="4">
        <f t="shared" si="0"/>
        <v>4.000000000000007E-2</v>
      </c>
      <c r="G21" s="4"/>
      <c r="H21" s="4"/>
      <c r="I21" s="4"/>
    </row>
    <row r="22" spans="1:9" x14ac:dyDescent="0.25">
      <c r="A22" s="4">
        <v>-5.7</v>
      </c>
      <c r="B22" s="4"/>
      <c r="C22" s="4"/>
      <c r="D22" s="4"/>
      <c r="E22" s="4"/>
      <c r="F22" s="4">
        <f t="shared" si="0"/>
        <v>8.99999999999999E-2</v>
      </c>
      <c r="G22" s="4"/>
      <c r="H22" s="4"/>
      <c r="I22" s="4"/>
    </row>
    <row r="23" spans="1:9" x14ac:dyDescent="0.25">
      <c r="A23" s="5">
        <v>-5.6</v>
      </c>
      <c r="B23" s="4"/>
      <c r="C23" s="4"/>
      <c r="D23" s="4"/>
      <c r="E23" s="4"/>
      <c r="F23" s="4">
        <f t="shared" si="0"/>
        <v>0.16000000000000028</v>
      </c>
      <c r="G23" s="4"/>
      <c r="H23" s="4"/>
      <c r="I23" s="4"/>
    </row>
    <row r="24" spans="1:9" x14ac:dyDescent="0.25">
      <c r="A24" s="4">
        <v>-5.5</v>
      </c>
      <c r="B24" s="4"/>
      <c r="C24" s="4"/>
      <c r="D24" s="4"/>
      <c r="E24" s="4"/>
      <c r="F24" s="4">
        <f t="shared" si="0"/>
        <v>0.25</v>
      </c>
      <c r="G24" s="4"/>
      <c r="H24" s="4"/>
      <c r="I24" s="4">
        <f>-4*(A24+5)^2+4</f>
        <v>3</v>
      </c>
    </row>
    <row r="25" spans="1:9" x14ac:dyDescent="0.25">
      <c r="A25" s="5">
        <v>-5.4</v>
      </c>
      <c r="B25" s="4"/>
      <c r="C25" s="4"/>
      <c r="D25" s="4"/>
      <c r="E25" s="4"/>
      <c r="F25" s="4">
        <f t="shared" si="0"/>
        <v>0.3599999999999996</v>
      </c>
      <c r="G25" s="4"/>
      <c r="H25" s="4"/>
      <c r="I25" s="4">
        <f t="shared" ref="I25:I34" si="2">-4*(A25+5)^2+4</f>
        <v>3.359999999999999</v>
      </c>
    </row>
    <row r="26" spans="1:9" x14ac:dyDescent="0.25">
      <c r="A26" s="4">
        <v>-5.3</v>
      </c>
      <c r="B26" s="4"/>
      <c r="C26" s="4"/>
      <c r="D26" s="4"/>
      <c r="E26" s="4"/>
      <c r="F26" s="4">
        <f t="shared" si="0"/>
        <v>0.49000000000000027</v>
      </c>
      <c r="G26" s="4"/>
      <c r="H26" s="4"/>
      <c r="I26" s="4">
        <f t="shared" si="2"/>
        <v>3.6400000000000006</v>
      </c>
    </row>
    <row r="27" spans="1:9" x14ac:dyDescent="0.25">
      <c r="A27" s="5">
        <v>-5.2</v>
      </c>
      <c r="B27" s="4"/>
      <c r="C27" s="4"/>
      <c r="D27" s="4"/>
      <c r="E27" s="4"/>
      <c r="F27" s="4">
        <f t="shared" si="0"/>
        <v>0.63999999999999968</v>
      </c>
      <c r="G27" s="4"/>
      <c r="H27" s="4"/>
      <c r="I27" s="4">
        <f t="shared" si="2"/>
        <v>3.84</v>
      </c>
    </row>
    <row r="28" spans="1:9" x14ac:dyDescent="0.25">
      <c r="A28" s="4">
        <v>-5.0999999999999996</v>
      </c>
      <c r="B28" s="4"/>
      <c r="C28" s="4"/>
      <c r="D28" s="4">
        <f>6*(A28+4)^2-7</f>
        <v>0.25999999999999623</v>
      </c>
      <c r="E28" s="4"/>
      <c r="F28" s="4">
        <f t="shared" si="0"/>
        <v>0.81000000000000061</v>
      </c>
      <c r="G28" s="4"/>
      <c r="H28" s="4"/>
      <c r="I28" s="4">
        <f t="shared" si="2"/>
        <v>3.9600000000000004</v>
      </c>
    </row>
    <row r="29" spans="1:9" x14ac:dyDescent="0.25">
      <c r="A29" s="5">
        <v>-5</v>
      </c>
      <c r="B29" s="4"/>
      <c r="C29" s="4"/>
      <c r="D29" s="4">
        <f t="shared" ref="D29:D49" si="3">6*(A29+4)^2-7</f>
        <v>-1</v>
      </c>
      <c r="E29" s="4"/>
      <c r="F29" s="4">
        <f t="shared" si="0"/>
        <v>1</v>
      </c>
      <c r="G29" s="4"/>
      <c r="H29" s="4"/>
      <c r="I29" s="4">
        <f t="shared" si="2"/>
        <v>4</v>
      </c>
    </row>
    <row r="30" spans="1:9" x14ac:dyDescent="0.25">
      <c r="A30" s="4">
        <v>-4.9000000000000004</v>
      </c>
      <c r="B30" s="4"/>
      <c r="C30" s="4"/>
      <c r="D30" s="4">
        <f t="shared" si="3"/>
        <v>-2.1399999999999961</v>
      </c>
      <c r="E30" s="4"/>
      <c r="F30" s="4">
        <f t="shared" si="0"/>
        <v>1.2099999999999993</v>
      </c>
      <c r="G30" s="4"/>
      <c r="H30" s="4"/>
      <c r="I30" s="4">
        <f t="shared" si="2"/>
        <v>3.9600000000000004</v>
      </c>
    </row>
    <row r="31" spans="1:9" x14ac:dyDescent="0.25">
      <c r="A31" s="5">
        <v>-4.8</v>
      </c>
      <c r="B31" s="4"/>
      <c r="C31" s="4"/>
      <c r="D31" s="4">
        <f t="shared" si="3"/>
        <v>-3.1600000000000019</v>
      </c>
      <c r="E31" s="4"/>
      <c r="F31" s="4">
        <f t="shared" si="0"/>
        <v>1.4400000000000004</v>
      </c>
      <c r="G31" s="4"/>
      <c r="H31" s="4"/>
      <c r="I31" s="4">
        <f t="shared" si="2"/>
        <v>3.84</v>
      </c>
    </row>
    <row r="32" spans="1:9" x14ac:dyDescent="0.25">
      <c r="A32" s="4">
        <v>-4.7</v>
      </c>
      <c r="B32" s="4"/>
      <c r="C32" s="4"/>
      <c r="D32" s="4">
        <f t="shared" si="3"/>
        <v>-4.0599999999999987</v>
      </c>
      <c r="E32" s="4"/>
      <c r="F32" s="4">
        <f t="shared" si="0"/>
        <v>1.6899999999999995</v>
      </c>
      <c r="G32" s="4"/>
      <c r="H32" s="4"/>
      <c r="I32" s="4">
        <f t="shared" si="2"/>
        <v>3.6400000000000006</v>
      </c>
    </row>
    <row r="33" spans="1:9" x14ac:dyDescent="0.25">
      <c r="A33" s="5">
        <v>-4.5999999999999996</v>
      </c>
      <c r="B33" s="4">
        <f>-(3/25)*A33^2+6</f>
        <v>3.4608000000000003</v>
      </c>
      <c r="C33" s="4"/>
      <c r="D33" s="4">
        <f t="shared" si="3"/>
        <v>-4.8400000000000025</v>
      </c>
      <c r="E33" s="4"/>
      <c r="F33" s="4">
        <f t="shared" si="0"/>
        <v>1.9600000000000011</v>
      </c>
      <c r="G33" s="4"/>
      <c r="H33" s="4"/>
      <c r="I33" s="4">
        <f t="shared" si="2"/>
        <v>3.359999999999999</v>
      </c>
    </row>
    <row r="34" spans="1:9" x14ac:dyDescent="0.25">
      <c r="A34" s="4">
        <v>-4.5</v>
      </c>
      <c r="B34" s="4">
        <f t="shared" ref="B34:B97" si="4">-(3/25)*A34^2+6</f>
        <v>3.5700000000000003</v>
      </c>
      <c r="C34" s="4"/>
      <c r="D34" s="4">
        <f t="shared" si="3"/>
        <v>-5.5</v>
      </c>
      <c r="E34" s="4"/>
      <c r="F34" s="4">
        <f t="shared" si="0"/>
        <v>2.25</v>
      </c>
      <c r="G34" s="4"/>
      <c r="H34" s="4"/>
      <c r="I34" s="4">
        <f t="shared" si="2"/>
        <v>3</v>
      </c>
    </row>
    <row r="35" spans="1:9" x14ac:dyDescent="0.25">
      <c r="A35" s="5">
        <v>-4.4000000000000004</v>
      </c>
      <c r="B35" s="4">
        <f t="shared" si="4"/>
        <v>3.6767999999999996</v>
      </c>
      <c r="C35" s="4"/>
      <c r="D35" s="4">
        <f t="shared" si="3"/>
        <v>-6.0399999999999983</v>
      </c>
      <c r="E35" s="4"/>
      <c r="F35" s="4">
        <f t="shared" si="0"/>
        <v>2.5599999999999987</v>
      </c>
      <c r="G35" s="4"/>
      <c r="H35" s="4"/>
      <c r="I35" s="4"/>
    </row>
    <row r="36" spans="1:9" x14ac:dyDescent="0.25">
      <c r="A36" s="4">
        <v>-4.3</v>
      </c>
      <c r="B36" s="4">
        <f t="shared" si="4"/>
        <v>3.7812000000000001</v>
      </c>
      <c r="C36" s="4"/>
      <c r="D36" s="4">
        <f t="shared" si="3"/>
        <v>-6.4600000000000009</v>
      </c>
      <c r="E36" s="4"/>
      <c r="F36" s="4">
        <f t="shared" si="0"/>
        <v>2.8900000000000006</v>
      </c>
      <c r="G36" s="4"/>
      <c r="H36" s="4"/>
      <c r="I36" s="4"/>
    </row>
    <row r="37" spans="1:9" x14ac:dyDescent="0.25">
      <c r="A37" s="5">
        <v>-4.2</v>
      </c>
      <c r="B37" s="4">
        <f t="shared" si="4"/>
        <v>3.8832</v>
      </c>
      <c r="C37" s="4"/>
      <c r="D37" s="4">
        <f t="shared" si="3"/>
        <v>-6.76</v>
      </c>
      <c r="E37" s="4"/>
      <c r="F37" s="4"/>
      <c r="G37" s="4"/>
      <c r="H37" s="4"/>
      <c r="I37" s="4"/>
    </row>
    <row r="38" spans="1:9" x14ac:dyDescent="0.25">
      <c r="A38" s="4">
        <v>-4.0999999999999996</v>
      </c>
      <c r="B38" s="4">
        <f t="shared" si="4"/>
        <v>3.9828000000000001</v>
      </c>
      <c r="C38" s="4"/>
      <c r="D38" s="4">
        <f t="shared" si="3"/>
        <v>-6.94</v>
      </c>
      <c r="E38" s="4"/>
      <c r="F38" s="4"/>
      <c r="G38" s="4"/>
      <c r="H38" s="4"/>
      <c r="I38" s="4"/>
    </row>
    <row r="39" spans="1:9" x14ac:dyDescent="0.25">
      <c r="A39" s="5">
        <v>-4</v>
      </c>
      <c r="B39" s="4">
        <f t="shared" si="4"/>
        <v>4.08</v>
      </c>
      <c r="C39" s="4"/>
      <c r="D39" s="4">
        <f t="shared" si="3"/>
        <v>-7</v>
      </c>
      <c r="E39" s="4"/>
      <c r="F39" s="4"/>
      <c r="G39" s="4"/>
      <c r="H39" s="4"/>
      <c r="I39" s="4"/>
    </row>
    <row r="40" spans="1:9" x14ac:dyDescent="0.25">
      <c r="A40" s="4">
        <v>-3.9</v>
      </c>
      <c r="B40" s="4">
        <f t="shared" si="4"/>
        <v>4.1748000000000003</v>
      </c>
      <c r="C40" s="4"/>
      <c r="D40" s="4">
        <f t="shared" si="3"/>
        <v>-6.9399999999999995</v>
      </c>
      <c r="E40" s="4"/>
      <c r="F40" s="4"/>
      <c r="G40" s="4"/>
      <c r="H40" s="4"/>
      <c r="I40" s="4"/>
    </row>
    <row r="41" spans="1:9" x14ac:dyDescent="0.25">
      <c r="A41" s="5">
        <v>-3.8</v>
      </c>
      <c r="B41" s="4">
        <f t="shared" si="4"/>
        <v>4.2671999999999999</v>
      </c>
      <c r="C41" s="4"/>
      <c r="D41" s="4">
        <f t="shared" si="3"/>
        <v>-6.76</v>
      </c>
      <c r="E41" s="4"/>
      <c r="F41" s="4"/>
      <c r="G41" s="4"/>
      <c r="H41" s="4"/>
      <c r="I41" s="4"/>
    </row>
    <row r="42" spans="1:9" x14ac:dyDescent="0.25">
      <c r="A42" s="4">
        <v>-3.7</v>
      </c>
      <c r="B42" s="4">
        <f t="shared" si="4"/>
        <v>4.3571999999999997</v>
      </c>
      <c r="C42" s="4"/>
      <c r="D42" s="4">
        <f t="shared" si="3"/>
        <v>-6.4600000000000009</v>
      </c>
      <c r="E42" s="4"/>
      <c r="F42" s="4"/>
      <c r="G42" s="4"/>
      <c r="H42" s="4"/>
      <c r="I42" s="4"/>
    </row>
    <row r="43" spans="1:9" x14ac:dyDescent="0.25">
      <c r="A43" s="5">
        <v>-3.6</v>
      </c>
      <c r="B43" s="4">
        <f t="shared" si="4"/>
        <v>4.4447999999999999</v>
      </c>
      <c r="C43" s="4"/>
      <c r="D43" s="4">
        <f t="shared" si="3"/>
        <v>-6.0400000000000009</v>
      </c>
      <c r="E43" s="4"/>
      <c r="F43" s="4"/>
      <c r="G43" s="4"/>
      <c r="H43" s="4"/>
      <c r="I43" s="4"/>
    </row>
    <row r="44" spans="1:9" x14ac:dyDescent="0.25">
      <c r="A44" s="4">
        <v>-3.5</v>
      </c>
      <c r="B44" s="4">
        <f t="shared" si="4"/>
        <v>4.53</v>
      </c>
      <c r="C44" s="4"/>
      <c r="D44" s="4">
        <f t="shared" si="3"/>
        <v>-5.5</v>
      </c>
      <c r="E44" s="4"/>
      <c r="F44" s="4"/>
      <c r="G44" s="4"/>
      <c r="H44" s="4"/>
      <c r="I44" s="4"/>
    </row>
    <row r="45" spans="1:9" x14ac:dyDescent="0.25">
      <c r="A45" s="5">
        <v>-3.4</v>
      </c>
      <c r="B45" s="4">
        <f t="shared" si="4"/>
        <v>4.6128</v>
      </c>
      <c r="C45" s="4"/>
      <c r="D45" s="4">
        <f t="shared" si="3"/>
        <v>-4.84</v>
      </c>
      <c r="E45" s="4"/>
      <c r="F45" s="4"/>
      <c r="G45" s="4"/>
      <c r="H45" s="4"/>
      <c r="I45" s="4"/>
    </row>
    <row r="46" spans="1:9" x14ac:dyDescent="0.25">
      <c r="A46" s="4">
        <v>-3.3</v>
      </c>
      <c r="B46" s="4">
        <f t="shared" si="4"/>
        <v>4.6932</v>
      </c>
      <c r="C46" s="4"/>
      <c r="D46" s="4">
        <f t="shared" si="3"/>
        <v>-4.0599999999999987</v>
      </c>
      <c r="E46" s="4"/>
      <c r="F46" s="4"/>
      <c r="G46" s="4"/>
      <c r="H46" s="4"/>
      <c r="I46" s="4"/>
    </row>
    <row r="47" spans="1:9" x14ac:dyDescent="0.25">
      <c r="A47" s="5">
        <v>-3.2</v>
      </c>
      <c r="B47" s="4">
        <f t="shared" si="4"/>
        <v>4.7712000000000003</v>
      </c>
      <c r="C47" s="4"/>
      <c r="D47" s="4">
        <f t="shared" si="3"/>
        <v>-3.1600000000000019</v>
      </c>
      <c r="E47" s="4"/>
      <c r="F47" s="4"/>
      <c r="G47" s="4"/>
      <c r="H47" s="4"/>
      <c r="I47" s="4"/>
    </row>
    <row r="48" spans="1:9" x14ac:dyDescent="0.25">
      <c r="A48" s="4">
        <v>-3.1</v>
      </c>
      <c r="B48" s="4">
        <f t="shared" si="4"/>
        <v>4.8468</v>
      </c>
      <c r="C48" s="4"/>
      <c r="D48" s="4">
        <f t="shared" si="3"/>
        <v>-2.1400000000000006</v>
      </c>
      <c r="E48" s="4"/>
      <c r="F48" s="4"/>
      <c r="G48" s="4"/>
      <c r="H48" s="4"/>
      <c r="I48" s="4"/>
    </row>
    <row r="49" spans="1:9" x14ac:dyDescent="0.25">
      <c r="A49" s="5">
        <v>-3</v>
      </c>
      <c r="B49" s="4">
        <f t="shared" si="4"/>
        <v>4.92</v>
      </c>
      <c r="C49" s="4">
        <f>-(1/3)*A49^2+2</f>
        <v>-1</v>
      </c>
      <c r="D49" s="4">
        <f t="shared" si="3"/>
        <v>-1</v>
      </c>
      <c r="E49" s="4"/>
      <c r="F49" s="4"/>
      <c r="G49" s="4"/>
      <c r="H49" s="4"/>
      <c r="I49" s="4"/>
    </row>
    <row r="50" spans="1:9" x14ac:dyDescent="0.25">
      <c r="A50" s="4">
        <v>-2.9</v>
      </c>
      <c r="B50" s="4">
        <f t="shared" si="4"/>
        <v>4.9908000000000001</v>
      </c>
      <c r="C50" s="4">
        <f t="shared" ref="C50:C109" si="5">-(1/3)*A50^2+2</f>
        <v>-0.80333333333333323</v>
      </c>
      <c r="D50" s="4"/>
      <c r="E50" s="4"/>
      <c r="F50" s="4"/>
      <c r="G50" s="4"/>
      <c r="H50" s="4"/>
      <c r="I50" s="4"/>
    </row>
    <row r="51" spans="1:9" x14ac:dyDescent="0.25">
      <c r="A51" s="5">
        <v>-2.8</v>
      </c>
      <c r="B51" s="4">
        <f t="shared" si="4"/>
        <v>5.0592000000000006</v>
      </c>
      <c r="C51" s="4">
        <f t="shared" si="5"/>
        <v>-0.61333333333333284</v>
      </c>
      <c r="D51" s="4"/>
      <c r="E51" s="4"/>
      <c r="F51" s="4"/>
      <c r="G51" s="4"/>
      <c r="H51" s="4"/>
      <c r="I51" s="4"/>
    </row>
    <row r="52" spans="1:9" x14ac:dyDescent="0.25">
      <c r="A52" s="4">
        <v>-2.7</v>
      </c>
      <c r="B52" s="4">
        <f t="shared" si="4"/>
        <v>5.1251999999999995</v>
      </c>
      <c r="C52" s="4">
        <f t="shared" si="5"/>
        <v>-0.43000000000000016</v>
      </c>
      <c r="D52" s="4"/>
      <c r="E52" s="4"/>
      <c r="F52" s="4"/>
      <c r="G52" s="4"/>
      <c r="H52" s="4"/>
      <c r="I52" s="4"/>
    </row>
    <row r="53" spans="1:9" x14ac:dyDescent="0.25">
      <c r="A53" s="5">
        <v>-2.6</v>
      </c>
      <c r="B53" s="4">
        <f t="shared" si="4"/>
        <v>5.1887999999999996</v>
      </c>
      <c r="C53" s="4">
        <f t="shared" si="5"/>
        <v>-0.25333333333333341</v>
      </c>
      <c r="D53" s="4"/>
      <c r="E53" s="4"/>
      <c r="F53" s="4"/>
      <c r="G53" s="4"/>
      <c r="H53" s="4"/>
      <c r="I53" s="4"/>
    </row>
    <row r="54" spans="1:9" x14ac:dyDescent="0.25">
      <c r="A54" s="4">
        <v>-2.5</v>
      </c>
      <c r="B54" s="4">
        <f t="shared" si="4"/>
        <v>5.25</v>
      </c>
      <c r="C54" s="4">
        <f t="shared" si="5"/>
        <v>-8.3333333333333037E-2</v>
      </c>
      <c r="D54" s="4"/>
      <c r="E54" s="4"/>
      <c r="F54" s="4"/>
      <c r="G54" s="4"/>
      <c r="H54" s="4"/>
      <c r="I54" s="4"/>
    </row>
    <row r="55" spans="1:9" x14ac:dyDescent="0.25">
      <c r="A55" s="5">
        <v>-2.4</v>
      </c>
      <c r="B55" s="4">
        <f t="shared" si="4"/>
        <v>5.3087999999999997</v>
      </c>
      <c r="C55" s="4">
        <f t="shared" si="5"/>
        <v>8.0000000000000071E-2</v>
      </c>
      <c r="D55" s="4"/>
      <c r="E55" s="4"/>
      <c r="F55" s="4"/>
      <c r="G55" s="4"/>
      <c r="H55" s="4"/>
      <c r="I55" s="4"/>
    </row>
    <row r="56" spans="1:9" x14ac:dyDescent="0.25">
      <c r="A56" s="4">
        <v>-2.2999999999999998</v>
      </c>
      <c r="B56" s="4">
        <f t="shared" si="4"/>
        <v>5.3651999999999997</v>
      </c>
      <c r="C56" s="4">
        <f t="shared" si="5"/>
        <v>0.23666666666666702</v>
      </c>
      <c r="D56" s="4"/>
      <c r="E56" s="4"/>
      <c r="F56" s="4"/>
      <c r="G56" s="4"/>
      <c r="H56" s="4"/>
      <c r="I56" s="4"/>
    </row>
    <row r="57" spans="1:9" x14ac:dyDescent="0.25">
      <c r="A57" s="5">
        <v>-2.2000000000000002</v>
      </c>
      <c r="B57" s="4">
        <f t="shared" si="4"/>
        <v>5.4192</v>
      </c>
      <c r="C57" s="4">
        <f t="shared" si="5"/>
        <v>0.38666666666666649</v>
      </c>
      <c r="D57" s="4"/>
      <c r="E57" s="4"/>
      <c r="F57" s="4"/>
      <c r="G57" s="4"/>
      <c r="H57" s="4"/>
      <c r="I57" s="4"/>
    </row>
    <row r="58" spans="1:9" x14ac:dyDescent="0.25">
      <c r="A58" s="4">
        <v>-2.1</v>
      </c>
      <c r="B58" s="4">
        <f t="shared" si="4"/>
        <v>5.4707999999999997</v>
      </c>
      <c r="C58" s="4">
        <f t="shared" si="5"/>
        <v>0.53</v>
      </c>
      <c r="D58" s="4"/>
      <c r="E58" s="4"/>
      <c r="F58" s="4"/>
      <c r="G58" s="4"/>
      <c r="H58" s="4"/>
      <c r="I58" s="4"/>
    </row>
    <row r="59" spans="1:9" x14ac:dyDescent="0.25">
      <c r="A59" s="5">
        <v>-2</v>
      </c>
      <c r="B59" s="4">
        <f t="shared" si="4"/>
        <v>5.52</v>
      </c>
      <c r="C59" s="4">
        <f t="shared" si="5"/>
        <v>0.66666666666666674</v>
      </c>
      <c r="D59" s="4"/>
      <c r="E59" s="4"/>
      <c r="F59" s="4"/>
      <c r="G59" s="4"/>
      <c r="H59" s="4"/>
      <c r="I59" s="4"/>
    </row>
    <row r="60" spans="1:9" x14ac:dyDescent="0.25">
      <c r="A60" s="4">
        <v>-1.9</v>
      </c>
      <c r="B60" s="4">
        <f t="shared" si="4"/>
        <v>5.5667999999999997</v>
      </c>
      <c r="C60" s="4">
        <f t="shared" si="5"/>
        <v>0.79666666666666686</v>
      </c>
      <c r="D60" s="4"/>
      <c r="E60" s="4"/>
      <c r="F60" s="4"/>
      <c r="G60" s="4"/>
      <c r="H60" s="4"/>
      <c r="I60" s="4"/>
    </row>
    <row r="61" spans="1:9" x14ac:dyDescent="0.25">
      <c r="A61" s="5">
        <v>-1.8</v>
      </c>
      <c r="B61" s="4">
        <f t="shared" si="4"/>
        <v>5.6112000000000002</v>
      </c>
      <c r="C61" s="4">
        <f t="shared" si="5"/>
        <v>0.91999999999999993</v>
      </c>
      <c r="D61" s="4"/>
      <c r="E61" s="4"/>
      <c r="F61" s="4"/>
      <c r="G61" s="4"/>
      <c r="H61" s="4"/>
      <c r="I61" s="4"/>
    </row>
    <row r="62" spans="1:9" x14ac:dyDescent="0.25">
      <c r="A62" s="4">
        <v>-1.7</v>
      </c>
      <c r="B62" s="4">
        <f t="shared" si="4"/>
        <v>5.6532</v>
      </c>
      <c r="C62" s="4">
        <f t="shared" si="5"/>
        <v>1.0366666666666668</v>
      </c>
      <c r="D62" s="4"/>
      <c r="E62" s="4"/>
      <c r="F62" s="4"/>
      <c r="G62" s="4"/>
      <c r="H62" s="4"/>
      <c r="I62" s="4"/>
    </row>
    <row r="63" spans="1:9" x14ac:dyDescent="0.25">
      <c r="A63" s="5">
        <v>-1.6</v>
      </c>
      <c r="B63" s="4">
        <f t="shared" si="4"/>
        <v>5.6928000000000001</v>
      </c>
      <c r="C63" s="4">
        <f t="shared" si="5"/>
        <v>1.1466666666666665</v>
      </c>
      <c r="D63" s="4"/>
      <c r="E63" s="4"/>
      <c r="F63" s="4"/>
      <c r="G63" s="4"/>
      <c r="H63" s="4"/>
      <c r="I63" s="4"/>
    </row>
    <row r="64" spans="1:9" x14ac:dyDescent="0.25">
      <c r="A64" s="4">
        <v>-1.5</v>
      </c>
      <c r="B64" s="4">
        <f t="shared" si="4"/>
        <v>5.73</v>
      </c>
      <c r="C64" s="4">
        <f t="shared" si="5"/>
        <v>1.25</v>
      </c>
      <c r="D64" s="4"/>
      <c r="E64" s="4"/>
      <c r="F64" s="4"/>
      <c r="G64" s="4"/>
      <c r="H64" s="4"/>
      <c r="I64" s="4"/>
    </row>
    <row r="65" spans="1:9" x14ac:dyDescent="0.25">
      <c r="A65" s="5">
        <v>-1.4</v>
      </c>
      <c r="B65" s="4">
        <f t="shared" si="4"/>
        <v>5.7648000000000001</v>
      </c>
      <c r="C65" s="4">
        <f t="shared" si="5"/>
        <v>1.3466666666666667</v>
      </c>
      <c r="D65" s="4"/>
      <c r="E65" s="4"/>
      <c r="F65" s="4"/>
      <c r="G65" s="4"/>
      <c r="H65" s="4"/>
      <c r="I65" s="4"/>
    </row>
    <row r="66" spans="1:9" x14ac:dyDescent="0.25">
      <c r="A66" s="4">
        <v>-1.3</v>
      </c>
      <c r="B66" s="4">
        <f t="shared" si="4"/>
        <v>5.7972000000000001</v>
      </c>
      <c r="C66" s="4">
        <f t="shared" si="5"/>
        <v>1.4366666666666665</v>
      </c>
      <c r="D66" s="4"/>
      <c r="E66" s="4"/>
      <c r="F66" s="4"/>
      <c r="G66" s="4"/>
      <c r="H66" s="4"/>
      <c r="I66" s="4"/>
    </row>
    <row r="67" spans="1:9" x14ac:dyDescent="0.25">
      <c r="A67" s="5">
        <v>-1.2</v>
      </c>
      <c r="B67" s="4">
        <f t="shared" si="4"/>
        <v>5.8272000000000004</v>
      </c>
      <c r="C67" s="4">
        <f t="shared" si="5"/>
        <v>1.52</v>
      </c>
      <c r="D67" s="4"/>
      <c r="E67" s="4"/>
      <c r="F67" s="4"/>
      <c r="G67" s="4"/>
      <c r="H67" s="4"/>
      <c r="I67" s="4"/>
    </row>
    <row r="68" spans="1:9" x14ac:dyDescent="0.25">
      <c r="A68" s="4">
        <v>-1.1000000000000001</v>
      </c>
      <c r="B68" s="4">
        <f t="shared" si="4"/>
        <v>5.8548</v>
      </c>
      <c r="C68" s="4">
        <f t="shared" si="5"/>
        <v>1.5966666666666667</v>
      </c>
      <c r="D68" s="4"/>
      <c r="E68" s="4"/>
      <c r="F68" s="4"/>
      <c r="G68" s="4"/>
      <c r="H68" s="4"/>
      <c r="I68" s="4"/>
    </row>
    <row r="69" spans="1:9" x14ac:dyDescent="0.25">
      <c r="A69" s="5">
        <v>-1</v>
      </c>
      <c r="B69" s="4">
        <f t="shared" si="4"/>
        <v>5.88</v>
      </c>
      <c r="C69" s="4">
        <f t="shared" si="5"/>
        <v>1.6666666666666667</v>
      </c>
      <c r="D69" s="4"/>
      <c r="E69" s="4"/>
      <c r="F69" s="4"/>
      <c r="G69" s="4"/>
      <c r="H69" s="4"/>
      <c r="I69" s="4"/>
    </row>
    <row r="70" spans="1:9" x14ac:dyDescent="0.25">
      <c r="A70" s="4">
        <v>-0.9</v>
      </c>
      <c r="B70" s="4">
        <f t="shared" si="4"/>
        <v>5.9028</v>
      </c>
      <c r="C70" s="4">
        <f t="shared" si="5"/>
        <v>1.73</v>
      </c>
      <c r="D70" s="4"/>
      <c r="E70" s="4"/>
      <c r="F70" s="4"/>
      <c r="G70" s="4"/>
      <c r="H70" s="4"/>
      <c r="I70" s="4"/>
    </row>
    <row r="71" spans="1:9" x14ac:dyDescent="0.25">
      <c r="A71" s="5">
        <v>-0.8</v>
      </c>
      <c r="B71" s="4">
        <f t="shared" si="4"/>
        <v>5.9231999999999996</v>
      </c>
      <c r="C71" s="4">
        <f t="shared" si="5"/>
        <v>1.7866666666666666</v>
      </c>
      <c r="D71" s="4"/>
      <c r="E71" s="4"/>
      <c r="F71" s="4"/>
      <c r="G71" s="4"/>
      <c r="H71" s="4"/>
      <c r="I71" s="4"/>
    </row>
    <row r="72" spans="1:9" x14ac:dyDescent="0.25">
      <c r="A72" s="4">
        <v>-0.7</v>
      </c>
      <c r="B72" s="4">
        <f t="shared" si="4"/>
        <v>5.9412000000000003</v>
      </c>
      <c r="C72" s="4">
        <f t="shared" si="5"/>
        <v>1.8366666666666667</v>
      </c>
      <c r="D72" s="4"/>
      <c r="E72" s="4"/>
      <c r="F72" s="4"/>
      <c r="G72" s="4"/>
      <c r="H72" s="4"/>
      <c r="I72" s="4"/>
    </row>
    <row r="73" spans="1:9" x14ac:dyDescent="0.25">
      <c r="A73" s="5">
        <v>-0.6</v>
      </c>
      <c r="B73" s="4">
        <f t="shared" si="4"/>
        <v>5.9568000000000003</v>
      </c>
      <c r="C73" s="4">
        <f t="shared" si="5"/>
        <v>1.88</v>
      </c>
      <c r="D73" s="4"/>
      <c r="E73" s="4"/>
      <c r="F73" s="4"/>
      <c r="G73" s="4"/>
      <c r="H73" s="4"/>
      <c r="I73" s="4"/>
    </row>
    <row r="74" spans="1:9" x14ac:dyDescent="0.25">
      <c r="A74" s="4">
        <v>-0.5</v>
      </c>
      <c r="B74" s="4">
        <f t="shared" si="4"/>
        <v>5.97</v>
      </c>
      <c r="C74" s="4">
        <f t="shared" si="5"/>
        <v>1.9166666666666667</v>
      </c>
      <c r="D74" s="4"/>
      <c r="E74" s="4"/>
      <c r="F74" s="4"/>
      <c r="G74" s="4"/>
      <c r="H74" s="4"/>
      <c r="I74" s="4"/>
    </row>
    <row r="75" spans="1:9" x14ac:dyDescent="0.25">
      <c r="A75" s="5">
        <v>-0.4</v>
      </c>
      <c r="B75" s="4">
        <f t="shared" si="4"/>
        <v>5.9808000000000003</v>
      </c>
      <c r="C75" s="4">
        <f t="shared" si="5"/>
        <v>1.9466666666666668</v>
      </c>
      <c r="D75" s="4"/>
      <c r="E75" s="4"/>
      <c r="F75" s="4"/>
      <c r="G75" s="4"/>
      <c r="H75" s="4"/>
      <c r="I75" s="4"/>
    </row>
    <row r="76" spans="1:9" x14ac:dyDescent="0.25">
      <c r="A76" s="4">
        <v>-0.3</v>
      </c>
      <c r="B76" s="4">
        <f t="shared" si="4"/>
        <v>5.9892000000000003</v>
      </c>
      <c r="C76" s="4">
        <f t="shared" si="5"/>
        <v>1.97</v>
      </c>
      <c r="D76" s="4"/>
      <c r="E76" s="4"/>
      <c r="F76" s="4"/>
      <c r="G76" s="4"/>
      <c r="H76" s="4"/>
      <c r="I76" s="4"/>
    </row>
    <row r="77" spans="1:9" x14ac:dyDescent="0.25">
      <c r="A77" s="5">
        <v>-0.2</v>
      </c>
      <c r="B77" s="4">
        <f t="shared" si="4"/>
        <v>5.9951999999999996</v>
      </c>
      <c r="C77" s="4">
        <f t="shared" si="5"/>
        <v>1.9866666666666666</v>
      </c>
      <c r="D77" s="4"/>
      <c r="E77" s="4"/>
      <c r="F77" s="4"/>
      <c r="G77" s="4"/>
      <c r="H77" s="4"/>
      <c r="I77" s="4"/>
    </row>
    <row r="78" spans="1:9" x14ac:dyDescent="0.25">
      <c r="A78" s="4">
        <v>-0.1</v>
      </c>
      <c r="B78" s="4">
        <f t="shared" si="4"/>
        <v>5.9988000000000001</v>
      </c>
      <c r="C78" s="4">
        <f t="shared" si="5"/>
        <v>1.9966666666666666</v>
      </c>
      <c r="D78" s="4"/>
      <c r="E78" s="4"/>
      <c r="F78" s="4"/>
      <c r="G78" s="4"/>
      <c r="H78" s="4"/>
      <c r="I78" s="4"/>
    </row>
    <row r="79" spans="1:9" x14ac:dyDescent="0.25">
      <c r="A79" s="5">
        <v>0</v>
      </c>
      <c r="B79" s="4">
        <f t="shared" si="4"/>
        <v>6</v>
      </c>
      <c r="C79" s="4">
        <f t="shared" si="5"/>
        <v>2</v>
      </c>
      <c r="D79" s="4"/>
      <c r="E79" s="4"/>
      <c r="F79" s="4"/>
      <c r="G79" s="4"/>
      <c r="H79" s="4"/>
      <c r="I79" s="4"/>
    </row>
    <row r="80" spans="1:9" x14ac:dyDescent="0.25">
      <c r="A80" s="4">
        <v>0.1</v>
      </c>
      <c r="B80" s="4">
        <f t="shared" si="4"/>
        <v>5.9988000000000001</v>
      </c>
      <c r="C80" s="4">
        <f t="shared" si="5"/>
        <v>1.9966666666666666</v>
      </c>
      <c r="D80" s="4"/>
      <c r="E80" s="4"/>
      <c r="F80" s="4"/>
      <c r="G80" s="4"/>
      <c r="H80" s="4"/>
      <c r="I80" s="4"/>
    </row>
    <row r="81" spans="1:9" x14ac:dyDescent="0.25">
      <c r="A81" s="5">
        <v>0.2</v>
      </c>
      <c r="B81" s="4">
        <f t="shared" si="4"/>
        <v>5.9951999999999996</v>
      </c>
      <c r="C81" s="4">
        <f t="shared" si="5"/>
        <v>1.9866666666666666</v>
      </c>
      <c r="D81" s="4"/>
      <c r="E81" s="4"/>
      <c r="F81" s="4"/>
      <c r="G81" s="4"/>
      <c r="H81" s="4"/>
      <c r="I81" s="4"/>
    </row>
    <row r="82" spans="1:9" x14ac:dyDescent="0.25">
      <c r="A82" s="4">
        <v>0.3</v>
      </c>
      <c r="B82" s="4">
        <f t="shared" si="4"/>
        <v>5.9892000000000003</v>
      </c>
      <c r="C82" s="4">
        <f t="shared" si="5"/>
        <v>1.97</v>
      </c>
      <c r="D82" s="4"/>
      <c r="E82" s="4"/>
      <c r="F82" s="4"/>
      <c r="G82" s="4"/>
      <c r="H82" s="4"/>
      <c r="I82" s="4"/>
    </row>
    <row r="83" spans="1:9" x14ac:dyDescent="0.25">
      <c r="A83" s="5">
        <v>0.4</v>
      </c>
      <c r="B83" s="4">
        <f t="shared" si="4"/>
        <v>5.9808000000000003</v>
      </c>
      <c r="C83" s="4">
        <f t="shared" si="5"/>
        <v>1.9466666666666668</v>
      </c>
      <c r="D83" s="4"/>
      <c r="E83" s="4"/>
      <c r="F83" s="4"/>
      <c r="G83" s="4"/>
      <c r="H83" s="4"/>
      <c r="I83" s="4"/>
    </row>
    <row r="84" spans="1:9" x14ac:dyDescent="0.25">
      <c r="A84" s="4">
        <v>0.5</v>
      </c>
      <c r="B84" s="4">
        <f t="shared" si="4"/>
        <v>5.97</v>
      </c>
      <c r="C84" s="4">
        <f t="shared" si="5"/>
        <v>1.9166666666666667</v>
      </c>
      <c r="D84" s="4"/>
      <c r="E84" s="4"/>
      <c r="F84" s="4"/>
      <c r="G84" s="4"/>
      <c r="H84" s="4"/>
      <c r="I84" s="4"/>
    </row>
    <row r="85" spans="1:9" x14ac:dyDescent="0.25">
      <c r="A85" s="5">
        <v>0.6</v>
      </c>
      <c r="B85" s="4">
        <f t="shared" si="4"/>
        <v>5.9568000000000003</v>
      </c>
      <c r="C85" s="4">
        <f t="shared" si="5"/>
        <v>1.88</v>
      </c>
      <c r="D85" s="4"/>
      <c r="E85" s="4"/>
      <c r="F85" s="4"/>
      <c r="G85" s="4"/>
      <c r="H85" s="4"/>
      <c r="I85" s="4"/>
    </row>
    <row r="86" spans="1:9" x14ac:dyDescent="0.25">
      <c r="A86" s="4">
        <v>0.7</v>
      </c>
      <c r="B86" s="4">
        <f t="shared" si="4"/>
        <v>5.9412000000000003</v>
      </c>
      <c r="C86" s="4">
        <f t="shared" si="5"/>
        <v>1.8366666666666667</v>
      </c>
      <c r="D86" s="4"/>
      <c r="E86" s="4"/>
      <c r="F86" s="4"/>
      <c r="G86" s="4"/>
      <c r="H86" s="4"/>
      <c r="I86" s="4"/>
    </row>
    <row r="87" spans="1:9" x14ac:dyDescent="0.25">
      <c r="A87" s="5">
        <v>0.8</v>
      </c>
      <c r="B87" s="4">
        <f t="shared" si="4"/>
        <v>5.9231999999999996</v>
      </c>
      <c r="C87" s="4">
        <f t="shared" si="5"/>
        <v>1.7866666666666666</v>
      </c>
      <c r="D87" s="4"/>
      <c r="E87" s="4"/>
      <c r="F87" s="4"/>
      <c r="G87" s="4"/>
      <c r="H87" s="4"/>
      <c r="I87" s="4"/>
    </row>
    <row r="88" spans="1:9" x14ac:dyDescent="0.25">
      <c r="A88" s="4">
        <v>0.9</v>
      </c>
      <c r="B88" s="4">
        <f t="shared" si="4"/>
        <v>5.9028</v>
      </c>
      <c r="C88" s="4">
        <f t="shared" si="5"/>
        <v>1.73</v>
      </c>
      <c r="D88" s="4"/>
      <c r="E88" s="4"/>
      <c r="F88" s="4"/>
      <c r="G88" s="4"/>
      <c r="H88" s="4"/>
      <c r="I88" s="4"/>
    </row>
    <row r="89" spans="1:9" x14ac:dyDescent="0.25">
      <c r="A89" s="5">
        <v>1</v>
      </c>
      <c r="B89" s="4">
        <f t="shared" si="4"/>
        <v>5.88</v>
      </c>
      <c r="C89" s="4">
        <f t="shared" si="5"/>
        <v>1.6666666666666667</v>
      </c>
      <c r="D89" s="4"/>
      <c r="E89" s="4"/>
      <c r="F89" s="4"/>
      <c r="G89" s="4"/>
      <c r="H89" s="4"/>
      <c r="I89" s="4"/>
    </row>
    <row r="90" spans="1:9" x14ac:dyDescent="0.25">
      <c r="A90" s="4">
        <v>1.1000000000000001</v>
      </c>
      <c r="B90" s="4">
        <f t="shared" si="4"/>
        <v>5.8548</v>
      </c>
      <c r="C90" s="4">
        <f t="shared" si="5"/>
        <v>1.5966666666666667</v>
      </c>
      <c r="D90" s="4"/>
      <c r="E90" s="4"/>
      <c r="F90" s="4"/>
      <c r="G90" s="4"/>
      <c r="H90" s="4"/>
      <c r="I90" s="4"/>
    </row>
    <row r="91" spans="1:9" x14ac:dyDescent="0.25">
      <c r="A91" s="5">
        <v>1.2</v>
      </c>
      <c r="B91" s="4">
        <f t="shared" si="4"/>
        <v>5.8272000000000004</v>
      </c>
      <c r="C91" s="4">
        <f t="shared" si="5"/>
        <v>1.52</v>
      </c>
      <c r="D91" s="4"/>
      <c r="E91" s="4"/>
      <c r="F91" s="4"/>
      <c r="G91" s="4"/>
      <c r="H91" s="4"/>
      <c r="I91" s="4"/>
    </row>
    <row r="92" spans="1:9" x14ac:dyDescent="0.25">
      <c r="A92" s="4">
        <v>1.3</v>
      </c>
      <c r="B92" s="4">
        <f t="shared" si="4"/>
        <v>5.7972000000000001</v>
      </c>
      <c r="C92" s="4">
        <f t="shared" si="5"/>
        <v>1.4366666666666665</v>
      </c>
      <c r="D92" s="4"/>
      <c r="E92" s="4"/>
      <c r="F92" s="4"/>
      <c r="G92" s="4"/>
      <c r="H92" s="4"/>
      <c r="I92" s="4"/>
    </row>
    <row r="93" spans="1:9" x14ac:dyDescent="0.25">
      <c r="A93" s="5">
        <v>1.4</v>
      </c>
      <c r="B93" s="4">
        <f t="shared" si="4"/>
        <v>5.7648000000000001</v>
      </c>
      <c r="C93" s="4">
        <f t="shared" si="5"/>
        <v>1.3466666666666667</v>
      </c>
      <c r="D93" s="4"/>
      <c r="E93" s="4"/>
      <c r="F93" s="4"/>
      <c r="G93" s="4"/>
      <c r="H93" s="4"/>
      <c r="I93" s="4"/>
    </row>
    <row r="94" spans="1:9" x14ac:dyDescent="0.25">
      <c r="A94" s="4">
        <v>1.5</v>
      </c>
      <c r="B94" s="4">
        <f t="shared" si="4"/>
        <v>5.73</v>
      </c>
      <c r="C94" s="4">
        <f t="shared" si="5"/>
        <v>1.25</v>
      </c>
      <c r="D94" s="4"/>
      <c r="E94" s="4"/>
      <c r="F94" s="4"/>
      <c r="G94" s="4"/>
      <c r="H94" s="4"/>
      <c r="I94" s="4"/>
    </row>
    <row r="95" spans="1:9" x14ac:dyDescent="0.25">
      <c r="A95" s="5">
        <v>1.6</v>
      </c>
      <c r="B95" s="4">
        <f t="shared" si="4"/>
        <v>5.6928000000000001</v>
      </c>
      <c r="C95" s="4">
        <f t="shared" si="5"/>
        <v>1.1466666666666665</v>
      </c>
      <c r="D95" s="4"/>
      <c r="E95" s="4"/>
      <c r="F95" s="4"/>
      <c r="G95" s="4"/>
      <c r="H95" s="4"/>
      <c r="I95" s="4"/>
    </row>
    <row r="96" spans="1:9" x14ac:dyDescent="0.25">
      <c r="A96" s="4">
        <v>1.7</v>
      </c>
      <c r="B96" s="4">
        <f t="shared" si="4"/>
        <v>5.6532</v>
      </c>
      <c r="C96" s="4">
        <f t="shared" si="5"/>
        <v>1.0366666666666668</v>
      </c>
      <c r="D96" s="4"/>
      <c r="E96" s="4"/>
      <c r="F96" s="4"/>
      <c r="G96" s="4"/>
      <c r="H96" s="4"/>
      <c r="I96" s="4"/>
    </row>
    <row r="97" spans="1:9" x14ac:dyDescent="0.25">
      <c r="A97" s="5">
        <v>1.8</v>
      </c>
      <c r="B97" s="4">
        <f t="shared" si="4"/>
        <v>5.6112000000000002</v>
      </c>
      <c r="C97" s="4">
        <f t="shared" si="5"/>
        <v>0.91999999999999993</v>
      </c>
      <c r="D97" s="4"/>
      <c r="E97" s="4"/>
      <c r="F97" s="4"/>
      <c r="G97" s="4"/>
      <c r="H97" s="4"/>
      <c r="I97" s="4"/>
    </row>
    <row r="98" spans="1:9" x14ac:dyDescent="0.25">
      <c r="A98" s="4">
        <v>1.9</v>
      </c>
      <c r="B98" s="4">
        <f t="shared" ref="B98:B129" si="6">-(3/25)*A98^2+6</f>
        <v>5.5667999999999997</v>
      </c>
      <c r="C98" s="4">
        <f t="shared" si="5"/>
        <v>0.79666666666666686</v>
      </c>
      <c r="D98" s="4"/>
      <c r="E98" s="4"/>
      <c r="F98" s="4"/>
      <c r="G98" s="4"/>
      <c r="H98" s="4"/>
      <c r="I98" s="4"/>
    </row>
    <row r="99" spans="1:9" x14ac:dyDescent="0.25">
      <c r="A99" s="5">
        <v>2</v>
      </c>
      <c r="B99" s="4">
        <f t="shared" si="6"/>
        <v>5.52</v>
      </c>
      <c r="C99" s="4">
        <f t="shared" si="5"/>
        <v>0.66666666666666674</v>
      </c>
      <c r="D99" s="4"/>
      <c r="E99" s="4"/>
      <c r="F99" s="4"/>
      <c r="G99" s="4"/>
      <c r="H99" s="4"/>
      <c r="I99" s="4"/>
    </row>
    <row r="100" spans="1:9" x14ac:dyDescent="0.25">
      <c r="A100" s="4">
        <v>2.1</v>
      </c>
      <c r="B100" s="4">
        <f t="shared" si="6"/>
        <v>5.4707999999999997</v>
      </c>
      <c r="C100" s="4">
        <f t="shared" si="5"/>
        <v>0.53</v>
      </c>
      <c r="D100" s="4"/>
      <c r="E100" s="4"/>
      <c r="F100" s="4"/>
      <c r="G100" s="4"/>
      <c r="H100" s="4"/>
      <c r="I100" s="4"/>
    </row>
    <row r="101" spans="1:9" x14ac:dyDescent="0.25">
      <c r="A101" s="5">
        <v>2.2000000000000002</v>
      </c>
      <c r="B101" s="4">
        <f t="shared" si="6"/>
        <v>5.4192</v>
      </c>
      <c r="C101" s="4">
        <f t="shared" si="5"/>
        <v>0.38666666666666649</v>
      </c>
      <c r="D101" s="4"/>
      <c r="E101" s="4"/>
      <c r="F101" s="4"/>
      <c r="G101" s="4"/>
      <c r="H101" s="4"/>
      <c r="I101" s="4"/>
    </row>
    <row r="102" spans="1:9" x14ac:dyDescent="0.25">
      <c r="A102" s="4">
        <v>2.2999999999999998</v>
      </c>
      <c r="B102" s="4">
        <f t="shared" si="6"/>
        <v>5.3651999999999997</v>
      </c>
      <c r="C102" s="4">
        <f t="shared" si="5"/>
        <v>0.23666666666666702</v>
      </c>
      <c r="D102" s="4"/>
      <c r="E102" s="4"/>
      <c r="F102" s="4"/>
      <c r="G102" s="4"/>
      <c r="H102" s="4"/>
      <c r="I102" s="4"/>
    </row>
    <row r="103" spans="1:9" x14ac:dyDescent="0.25">
      <c r="A103" s="5">
        <v>2.4</v>
      </c>
      <c r="B103" s="4">
        <f t="shared" si="6"/>
        <v>5.3087999999999997</v>
      </c>
      <c r="C103" s="4">
        <f t="shared" si="5"/>
        <v>8.0000000000000071E-2</v>
      </c>
      <c r="D103" s="4"/>
      <c r="E103" s="4"/>
      <c r="F103" s="4"/>
      <c r="G103" s="4"/>
      <c r="H103" s="4"/>
      <c r="I103" s="4"/>
    </row>
    <row r="104" spans="1:9" x14ac:dyDescent="0.25">
      <c r="A104" s="4">
        <v>2.5</v>
      </c>
      <c r="B104" s="4">
        <f t="shared" si="6"/>
        <v>5.25</v>
      </c>
      <c r="C104" s="4">
        <f t="shared" si="5"/>
        <v>-8.3333333333333037E-2</v>
      </c>
      <c r="D104" s="4"/>
      <c r="E104" s="4"/>
      <c r="F104" s="4"/>
      <c r="G104" s="4"/>
      <c r="H104" s="4"/>
      <c r="I104" s="4"/>
    </row>
    <row r="105" spans="1:9" x14ac:dyDescent="0.25">
      <c r="A105" s="5">
        <v>2.6</v>
      </c>
      <c r="B105" s="4">
        <f t="shared" si="6"/>
        <v>5.1887999999999996</v>
      </c>
      <c r="C105" s="4">
        <f t="shared" si="5"/>
        <v>-0.25333333333333341</v>
      </c>
      <c r="D105" s="4"/>
      <c r="E105" s="4"/>
      <c r="F105" s="4"/>
      <c r="G105" s="4"/>
      <c r="H105" s="4"/>
      <c r="I105" s="4"/>
    </row>
    <row r="106" spans="1:9" x14ac:dyDescent="0.25">
      <c r="A106" s="4">
        <v>2.7</v>
      </c>
      <c r="B106" s="4">
        <f t="shared" si="6"/>
        <v>5.1251999999999995</v>
      </c>
      <c r="C106" s="4">
        <f t="shared" si="5"/>
        <v>-0.43000000000000016</v>
      </c>
      <c r="D106" s="4"/>
      <c r="E106" s="4"/>
      <c r="F106" s="4"/>
      <c r="G106" s="4"/>
      <c r="H106" s="4"/>
      <c r="I106" s="4"/>
    </row>
    <row r="107" spans="1:9" x14ac:dyDescent="0.25">
      <c r="A107" s="5">
        <v>2.8</v>
      </c>
      <c r="B107" s="4">
        <f t="shared" si="6"/>
        <v>5.0592000000000006</v>
      </c>
      <c r="C107" s="4">
        <f t="shared" si="5"/>
        <v>-0.61333333333333284</v>
      </c>
      <c r="D107" s="4"/>
      <c r="E107" s="4"/>
      <c r="F107" s="4"/>
      <c r="G107" s="4"/>
      <c r="H107" s="4"/>
      <c r="I107" s="4"/>
    </row>
    <row r="108" spans="1:9" x14ac:dyDescent="0.25">
      <c r="A108" s="4">
        <v>2.9</v>
      </c>
      <c r="B108" s="4">
        <f t="shared" si="6"/>
        <v>4.9908000000000001</v>
      </c>
      <c r="C108" s="4">
        <f t="shared" si="5"/>
        <v>-0.80333333333333323</v>
      </c>
      <c r="D108" s="4"/>
      <c r="E108" s="4"/>
      <c r="F108" s="4"/>
      <c r="G108" s="4"/>
      <c r="H108" s="4"/>
      <c r="I108" s="4"/>
    </row>
    <row r="109" spans="1:9" x14ac:dyDescent="0.25">
      <c r="A109" s="5">
        <v>3</v>
      </c>
      <c r="B109" s="4">
        <f t="shared" si="6"/>
        <v>4.92</v>
      </c>
      <c r="C109" s="4">
        <f t="shared" si="5"/>
        <v>-1</v>
      </c>
      <c r="D109" s="4"/>
      <c r="E109" s="4">
        <f t="shared" ref="E109:E131" si="7">6*((A109-4)^2)-7</f>
        <v>-1</v>
      </c>
      <c r="F109" s="4"/>
      <c r="G109" s="4"/>
      <c r="H109" s="4"/>
      <c r="I109" s="4"/>
    </row>
    <row r="110" spans="1:9" x14ac:dyDescent="0.25">
      <c r="A110" s="4">
        <v>3.1</v>
      </c>
      <c r="B110" s="4">
        <f t="shared" si="6"/>
        <v>4.8468</v>
      </c>
      <c r="C110" s="4"/>
      <c r="D110" s="4"/>
      <c r="E110" s="4">
        <f t="shared" si="7"/>
        <v>-2.1400000000000006</v>
      </c>
      <c r="F110" s="4"/>
      <c r="G110" s="4"/>
      <c r="H110" s="4"/>
      <c r="I110" s="4"/>
    </row>
    <row r="111" spans="1:9" x14ac:dyDescent="0.25">
      <c r="A111" s="5">
        <v>3.2</v>
      </c>
      <c r="B111" s="4">
        <f t="shared" si="6"/>
        <v>4.7712000000000003</v>
      </c>
      <c r="C111" s="4"/>
      <c r="D111" s="4"/>
      <c r="E111" s="4">
        <f t="shared" si="7"/>
        <v>-3.1600000000000019</v>
      </c>
      <c r="F111" s="4"/>
      <c r="G111" s="4"/>
      <c r="H111" s="4"/>
      <c r="I111" s="4"/>
    </row>
    <row r="112" spans="1:9" x14ac:dyDescent="0.25">
      <c r="A112" s="4">
        <v>3.3</v>
      </c>
      <c r="B112" s="4">
        <f t="shared" si="6"/>
        <v>4.6932</v>
      </c>
      <c r="C112" s="4"/>
      <c r="D112" s="4"/>
      <c r="E112" s="4">
        <f t="shared" si="7"/>
        <v>-4.0599999999999987</v>
      </c>
      <c r="F112" s="4"/>
      <c r="G112" s="4"/>
      <c r="H112" s="4"/>
      <c r="I112" s="4"/>
    </row>
    <row r="113" spans="1:9" x14ac:dyDescent="0.25">
      <c r="A113" s="5">
        <v>3.4</v>
      </c>
      <c r="B113" s="4">
        <f t="shared" si="6"/>
        <v>4.6128</v>
      </c>
      <c r="C113" s="4"/>
      <c r="D113" s="4"/>
      <c r="E113" s="4">
        <f t="shared" si="7"/>
        <v>-4.84</v>
      </c>
      <c r="F113" s="4"/>
      <c r="G113" s="4"/>
      <c r="H113" s="4"/>
      <c r="I113" s="4"/>
    </row>
    <row r="114" spans="1:9" x14ac:dyDescent="0.25">
      <c r="A114" s="4">
        <v>3.5</v>
      </c>
      <c r="B114" s="4">
        <f t="shared" si="6"/>
        <v>4.53</v>
      </c>
      <c r="C114" s="4"/>
      <c r="D114" s="4"/>
      <c r="E114" s="4">
        <f t="shared" si="7"/>
        <v>-5.5</v>
      </c>
      <c r="F114" s="4"/>
      <c r="G114" s="4"/>
      <c r="H114" s="4"/>
      <c r="I114" s="4"/>
    </row>
    <row r="115" spans="1:9" x14ac:dyDescent="0.25">
      <c r="A115" s="5">
        <v>3.6</v>
      </c>
      <c r="B115" s="4">
        <f t="shared" si="6"/>
        <v>4.4447999999999999</v>
      </c>
      <c r="C115" s="4"/>
      <c r="D115" s="4"/>
      <c r="E115" s="4">
        <f t="shared" si="7"/>
        <v>-6.0400000000000009</v>
      </c>
      <c r="F115" s="4"/>
      <c r="G115" s="4"/>
      <c r="H115" s="4"/>
      <c r="I115" s="4"/>
    </row>
    <row r="116" spans="1:9" x14ac:dyDescent="0.25">
      <c r="A116" s="4">
        <v>3.7</v>
      </c>
      <c r="B116" s="4">
        <f t="shared" si="6"/>
        <v>4.3571999999999997</v>
      </c>
      <c r="C116" s="4"/>
      <c r="D116" s="4"/>
      <c r="E116" s="4">
        <f t="shared" si="7"/>
        <v>-6.4600000000000009</v>
      </c>
      <c r="F116" s="4"/>
      <c r="G116" s="4"/>
      <c r="H116" s="4"/>
      <c r="I116" s="4"/>
    </row>
    <row r="117" spans="1:9" x14ac:dyDescent="0.25">
      <c r="A117" s="5">
        <v>3.8</v>
      </c>
      <c r="B117" s="4">
        <f t="shared" si="6"/>
        <v>4.2671999999999999</v>
      </c>
      <c r="C117" s="4"/>
      <c r="D117" s="4"/>
      <c r="E117" s="4">
        <f t="shared" si="7"/>
        <v>-6.76</v>
      </c>
      <c r="F117" s="4"/>
      <c r="G117" s="4"/>
      <c r="H117" s="4"/>
      <c r="I117" s="4"/>
    </row>
    <row r="118" spans="1:9" x14ac:dyDescent="0.25">
      <c r="A118" s="4">
        <v>3.9</v>
      </c>
      <c r="B118" s="4">
        <f t="shared" si="6"/>
        <v>4.1748000000000003</v>
      </c>
      <c r="C118" s="4"/>
      <c r="D118" s="4"/>
      <c r="E118" s="4">
        <f t="shared" si="7"/>
        <v>-6.9399999999999995</v>
      </c>
      <c r="F118" s="4"/>
      <c r="G118" s="4"/>
      <c r="H118" s="4"/>
      <c r="I118" s="4"/>
    </row>
    <row r="119" spans="1:9" x14ac:dyDescent="0.25">
      <c r="A119" s="5">
        <v>4</v>
      </c>
      <c r="B119" s="4">
        <f t="shared" si="6"/>
        <v>4.08</v>
      </c>
      <c r="C119" s="4"/>
      <c r="D119" s="4"/>
      <c r="E119" s="4">
        <f t="shared" si="7"/>
        <v>-7</v>
      </c>
      <c r="F119" s="4"/>
      <c r="G119" s="4"/>
      <c r="H119" s="4"/>
      <c r="I119" s="4"/>
    </row>
    <row r="120" spans="1:9" x14ac:dyDescent="0.25">
      <c r="A120" s="4">
        <v>4.0999999999999996</v>
      </c>
      <c r="B120" s="4">
        <f t="shared" si="6"/>
        <v>3.9828000000000001</v>
      </c>
      <c r="C120" s="4"/>
      <c r="D120" s="4"/>
      <c r="E120" s="4">
        <f t="shared" si="7"/>
        <v>-6.94</v>
      </c>
      <c r="F120" s="4"/>
      <c r="G120" s="4"/>
      <c r="H120" s="4"/>
      <c r="I120" s="4"/>
    </row>
    <row r="121" spans="1:9" x14ac:dyDescent="0.25">
      <c r="A121" s="5">
        <v>4.2</v>
      </c>
      <c r="B121" s="4">
        <f t="shared" si="6"/>
        <v>3.8832</v>
      </c>
      <c r="C121" s="4"/>
      <c r="D121" s="4"/>
      <c r="E121" s="4">
        <f t="shared" si="7"/>
        <v>-6.76</v>
      </c>
      <c r="F121" s="4"/>
      <c r="G121" s="4"/>
      <c r="H121" s="4"/>
      <c r="I121" s="4"/>
    </row>
    <row r="122" spans="1:9" x14ac:dyDescent="0.25">
      <c r="A122" s="4">
        <v>4.3</v>
      </c>
      <c r="B122" s="4">
        <f t="shared" si="6"/>
        <v>3.7812000000000001</v>
      </c>
      <c r="C122" s="4"/>
      <c r="D122" s="4"/>
      <c r="E122" s="4">
        <f t="shared" si="7"/>
        <v>-6.4600000000000009</v>
      </c>
      <c r="F122" s="4"/>
      <c r="G122" s="4"/>
      <c r="H122" s="4"/>
      <c r="I122" s="4"/>
    </row>
    <row r="123" spans="1:9" x14ac:dyDescent="0.25">
      <c r="A123" s="5">
        <v>4.4000000000000004</v>
      </c>
      <c r="B123" s="4">
        <f t="shared" si="6"/>
        <v>3.6767999999999996</v>
      </c>
      <c r="C123" s="4"/>
      <c r="D123" s="4"/>
      <c r="E123" s="4">
        <f t="shared" si="7"/>
        <v>-6.0399999999999983</v>
      </c>
      <c r="F123" s="4"/>
      <c r="G123" s="4"/>
      <c r="H123" s="4"/>
      <c r="I123" s="4"/>
    </row>
    <row r="124" spans="1:9" x14ac:dyDescent="0.25">
      <c r="A124" s="4">
        <v>4.5</v>
      </c>
      <c r="B124" s="4">
        <f t="shared" si="6"/>
        <v>3.5700000000000003</v>
      </c>
      <c r="C124" s="4"/>
      <c r="D124" s="4"/>
      <c r="E124" s="4">
        <f t="shared" si="7"/>
        <v>-5.5</v>
      </c>
      <c r="F124" s="4"/>
      <c r="G124" s="4">
        <f>-24*(A124-5)^2+9</f>
        <v>3</v>
      </c>
      <c r="H124" s="4"/>
      <c r="I124" s="4"/>
    </row>
    <row r="125" spans="1:9" x14ac:dyDescent="0.25">
      <c r="A125" s="5">
        <v>4.5999999999999996</v>
      </c>
      <c r="B125" s="4">
        <f t="shared" si="6"/>
        <v>3.4608000000000003</v>
      </c>
      <c r="C125" s="4"/>
      <c r="D125" s="4"/>
      <c r="E125" s="4">
        <f t="shared" si="7"/>
        <v>-4.8400000000000025</v>
      </c>
      <c r="F125" s="4"/>
      <c r="G125" s="4">
        <f t="shared" ref="G125:G134" si="8">-24*(A125-5)^2+9</f>
        <v>5.159999999999993</v>
      </c>
      <c r="H125" s="4"/>
      <c r="I125" s="4"/>
    </row>
    <row r="126" spans="1:9" x14ac:dyDescent="0.25">
      <c r="A126" s="4">
        <v>4.7</v>
      </c>
      <c r="B126" s="4">
        <f t="shared" si="6"/>
        <v>3.3491999999999997</v>
      </c>
      <c r="C126" s="4"/>
      <c r="D126" s="4"/>
      <c r="E126" s="4">
        <f t="shared" si="7"/>
        <v>-4.0599999999999987</v>
      </c>
      <c r="F126" s="4"/>
      <c r="G126" s="4">
        <f t="shared" si="8"/>
        <v>6.8400000000000025</v>
      </c>
      <c r="H126" s="4"/>
      <c r="I126" s="4"/>
    </row>
    <row r="127" spans="1:9" x14ac:dyDescent="0.25">
      <c r="A127" s="5">
        <v>4.8</v>
      </c>
      <c r="B127" s="4">
        <f t="shared" si="6"/>
        <v>3.2352000000000003</v>
      </c>
      <c r="C127" s="4"/>
      <c r="D127" s="4"/>
      <c r="E127" s="4">
        <f t="shared" si="7"/>
        <v>-3.1600000000000019</v>
      </c>
      <c r="F127" s="4"/>
      <c r="G127" s="4">
        <f t="shared" si="8"/>
        <v>8.0399999999999991</v>
      </c>
      <c r="H127" s="4"/>
      <c r="I127" s="4"/>
    </row>
    <row r="128" spans="1:9" x14ac:dyDescent="0.25">
      <c r="A128" s="4">
        <v>4.9000000000000004</v>
      </c>
      <c r="B128" s="4">
        <f t="shared" si="6"/>
        <v>3.1187999999999994</v>
      </c>
      <c r="C128" s="4"/>
      <c r="D128" s="4"/>
      <c r="E128" s="4">
        <f t="shared" si="7"/>
        <v>-2.1399999999999961</v>
      </c>
      <c r="F128" s="4"/>
      <c r="G128" s="4">
        <f t="shared" si="8"/>
        <v>8.7600000000000016</v>
      </c>
      <c r="H128" s="4"/>
      <c r="I128" s="4"/>
    </row>
    <row r="129" spans="1:9" x14ac:dyDescent="0.25">
      <c r="A129" s="5">
        <v>5</v>
      </c>
      <c r="B129" s="4">
        <f t="shared" si="6"/>
        <v>3</v>
      </c>
      <c r="C129" s="4"/>
      <c r="D129" s="4"/>
      <c r="E129" s="4">
        <f t="shared" si="7"/>
        <v>-1</v>
      </c>
      <c r="F129" s="4"/>
      <c r="G129" s="4">
        <f t="shared" si="8"/>
        <v>9</v>
      </c>
      <c r="H129" s="4"/>
      <c r="I129" s="4"/>
    </row>
    <row r="130" spans="1:9" x14ac:dyDescent="0.25">
      <c r="A130" s="4">
        <v>5.0999999999999996</v>
      </c>
      <c r="B130" s="4"/>
      <c r="C130" s="4"/>
      <c r="D130" s="4"/>
      <c r="E130" s="4">
        <f t="shared" si="7"/>
        <v>0.25999999999999623</v>
      </c>
      <c r="F130" s="4"/>
      <c r="G130" s="4">
        <f t="shared" si="8"/>
        <v>8.7600000000000016</v>
      </c>
      <c r="H130" s="4"/>
      <c r="I130" s="4"/>
    </row>
    <row r="131" spans="1:9" x14ac:dyDescent="0.25">
      <c r="A131" s="5">
        <v>5.2</v>
      </c>
      <c r="B131" s="4"/>
      <c r="C131" s="4"/>
      <c r="D131" s="4"/>
      <c r="E131" s="4">
        <f t="shared" si="7"/>
        <v>1.6400000000000023</v>
      </c>
      <c r="F131" s="4"/>
      <c r="G131" s="4">
        <f t="shared" si="8"/>
        <v>8.0399999999999991</v>
      </c>
      <c r="H131" s="4"/>
      <c r="I131" s="4"/>
    </row>
    <row r="132" spans="1:9" x14ac:dyDescent="0.25">
      <c r="A132" s="4">
        <v>5.3</v>
      </c>
      <c r="B132" s="4"/>
      <c r="C132" s="4"/>
      <c r="D132" s="4"/>
      <c r="E132" s="4">
        <f>6*((A132-4)^2)-7</f>
        <v>3.139999999999997</v>
      </c>
      <c r="F132" s="4"/>
      <c r="G132" s="4">
        <f t="shared" si="8"/>
        <v>6.8400000000000025</v>
      </c>
      <c r="H132" s="4"/>
      <c r="I132" s="4"/>
    </row>
    <row r="133" spans="1:9" x14ac:dyDescent="0.25">
      <c r="A133" s="5">
        <v>5.4</v>
      </c>
      <c r="B133" s="4"/>
      <c r="C133" s="4"/>
      <c r="D133" s="4"/>
      <c r="E133" s="4"/>
      <c r="F133" s="4"/>
      <c r="G133" s="4">
        <f t="shared" si="8"/>
        <v>5.159999999999993</v>
      </c>
      <c r="H133" s="4"/>
      <c r="I133" s="4"/>
    </row>
    <row r="134" spans="1:9" x14ac:dyDescent="0.25">
      <c r="A134" s="4">
        <v>5.5</v>
      </c>
      <c r="B134" s="4"/>
      <c r="C134" s="4"/>
      <c r="D134" s="4"/>
      <c r="E134" s="4"/>
      <c r="F134" s="4"/>
      <c r="G134" s="4">
        <f t="shared" si="8"/>
        <v>3</v>
      </c>
      <c r="H134" s="4"/>
      <c r="I134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2025-11-05T07:57:20Z</dcterms:created>
  <dcterms:modified xsi:type="dcterms:W3CDTF">2025-11-18T14:22:36Z</dcterms:modified>
</cp:coreProperties>
</file>