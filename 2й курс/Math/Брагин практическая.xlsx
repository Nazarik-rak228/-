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Math\"/>
    </mc:Choice>
  </mc:AlternateContent>
  <xr:revisionPtr revIDLastSave="0" documentId="13_ncr:1_{E72390CE-A3E0-4246-B925-7FE663E0D54C}" xr6:coauthVersionLast="47" xr6:coauthVersionMax="47" xr10:uidLastSave="{00000000-0000-0000-0000-000000000000}"/>
  <bookViews>
    <workbookView xWindow="14295" yWindow="0" windowWidth="14610" windowHeight="16305" xr2:uid="{B0CCBDD0-3C8B-46A7-9813-0E8F5F62F5D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9" i="1" l="1" a="1"/>
  <c r="S39" i="1" s="1"/>
  <c r="C76" i="1"/>
  <c r="B76" i="1"/>
  <c r="C75" i="1"/>
  <c r="B75" i="1"/>
  <c r="C73" i="1"/>
  <c r="B73" i="1"/>
  <c r="C72" i="1"/>
  <c r="B72" i="1"/>
  <c r="D72" i="1" s="1"/>
  <c r="F72" i="1" s="1"/>
  <c r="I53" i="1" s="1"/>
  <c r="C70" i="1"/>
  <c r="B70" i="1"/>
  <c r="C69" i="1"/>
  <c r="B69" i="1"/>
  <c r="D69" i="1" s="1"/>
  <c r="F69" i="1" s="1"/>
  <c r="H53" i="1" s="1"/>
  <c r="C67" i="1"/>
  <c r="B67" i="1"/>
  <c r="C66" i="1"/>
  <c r="B66" i="1"/>
  <c r="D66" i="1" s="1"/>
  <c r="F66" i="1" s="1"/>
  <c r="J52" i="1" s="1"/>
  <c r="C64" i="1"/>
  <c r="B64" i="1"/>
  <c r="C63" i="1"/>
  <c r="B63" i="1"/>
  <c r="C61" i="1"/>
  <c r="B61" i="1"/>
  <c r="C60" i="1"/>
  <c r="B60" i="1"/>
  <c r="C58" i="1"/>
  <c r="B58" i="1"/>
  <c r="C57" i="1"/>
  <c r="B57" i="1"/>
  <c r="D57" i="1" s="1"/>
  <c r="F57" i="1" s="1"/>
  <c r="J51" i="1" s="1"/>
  <c r="C55" i="1"/>
  <c r="B55" i="1"/>
  <c r="C54" i="1"/>
  <c r="B54" i="1"/>
  <c r="D54" i="1" s="1"/>
  <c r="F54" i="1" s="1"/>
  <c r="I51" i="1" s="1"/>
  <c r="C52" i="1"/>
  <c r="B52" i="1"/>
  <c r="C51" i="1"/>
  <c r="B51" i="1"/>
  <c r="C47" i="1"/>
  <c r="I34" i="1" a="1"/>
  <c r="I34" i="1" s="1"/>
  <c r="F34" i="1" a="1"/>
  <c r="F34" i="1" s="1"/>
  <c r="E29" i="1" a="1"/>
  <c r="E29" i="1" s="1"/>
  <c r="J23" i="1" a="1"/>
  <c r="J23" i="1" s="1"/>
  <c r="E23" i="1" a="1"/>
  <c r="E23" i="1" s="1"/>
  <c r="K14" i="1" a="1"/>
  <c r="K14" i="1" s="1"/>
  <c r="J7" i="1" a="1"/>
  <c r="J7" i="1" s="1"/>
  <c r="D51" i="1" l="1"/>
  <c r="F51" i="1" s="1"/>
  <c r="H51" i="1" s="1"/>
  <c r="D75" i="1"/>
  <c r="F75" i="1" s="1"/>
  <c r="J53" i="1" s="1"/>
  <c r="D63" i="1"/>
  <c r="F63" i="1" s="1"/>
  <c r="I52" i="1" s="1"/>
  <c r="D60" i="1"/>
  <c r="F60" i="1" s="1"/>
  <c r="H52" i="1" s="1"/>
  <c r="H57" i="1" l="1" a="1"/>
  <c r="H57" i="1" s="1"/>
  <c r="H63" i="1" s="1" a="1"/>
  <c r="H63" i="1" s="1"/>
  <c r="H70" i="1" s="1" a="1"/>
  <c r="H7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<sst xmlns="http://schemas.openxmlformats.org/spreadsheetml/2006/main" count="28" uniqueCount="28">
  <si>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номер 2</t>
  </si>
  <si>
    <t>А</t>
  </si>
  <si>
    <t>А^-1</t>
  </si>
  <si>
    <t>1. Определитель</t>
  </si>
  <si>
    <t>2. Все миноры</t>
  </si>
  <si>
    <t>3. Все алг.дополнения</t>
  </si>
  <si>
    <t>4. Матрица из Алг.дополненийа</t>
  </si>
  <si>
    <t>М11</t>
  </si>
  <si>
    <t>А11</t>
  </si>
  <si>
    <t>М12</t>
  </si>
  <si>
    <t>А12</t>
  </si>
  <si>
    <t>5. Транспонирование</t>
  </si>
  <si>
    <t>М13</t>
  </si>
  <si>
    <t>А13</t>
  </si>
  <si>
    <t>М21</t>
  </si>
  <si>
    <t>А21</t>
  </si>
  <si>
    <t>6. А^-1</t>
  </si>
  <si>
    <t>М22</t>
  </si>
  <si>
    <t>А22</t>
  </si>
  <si>
    <t>М23</t>
  </si>
  <si>
    <t>А23</t>
  </si>
  <si>
    <t>7. ПРОВЕРКА</t>
  </si>
  <si>
    <t>М31</t>
  </si>
  <si>
    <t>А31</t>
  </si>
  <si>
    <t>М32</t>
  </si>
  <si>
    <t>А32</t>
  </si>
  <si>
    <t>М33</t>
  </si>
  <si>
    <t>А33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</si>
</sst>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9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2" fontId="0" fillId="2" borderId="4" xfId="0" applyNumberFormat="1" applyFill="1" applyBorder="1"/>
    <xf numFmtId="2" fontId="0" fillId="2" borderId="0" xfId="0" applyNumberFormat="1" applyFill="1"/>
    <xf numFmtId="2" fontId="0" fillId="2" borderId="5" xfId="0" applyNumberForma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7187-4D93-4D2F-A4E2-D869577511C7}">
  <dimension ref="A6:S76"/>
  <sheetViews>
    <sheetView tabSelected="1" topLeftCell="I32" zoomScale="99" workbookViewId="0">
      <selection activeCell="N58" sqref="N58"/>
    </sheetView>
  </sheetViews>
  <sheetFormatPr defaultRowHeight="15" x14ac:dyDescent="0.25"/>
  <sheetData>
    <row r="6" spans="1:13" x14ac:dyDescent="0.25">
      <c r="A6" t="s">
        <v>0</v>
      </c>
    </row>
    <row r="7" spans="1:13" x14ac:dyDescent="0.25">
      <c r="A7">
        <v>1</v>
      </c>
      <c r="B7">
        <v>1</v>
      </c>
      <c r="C7">
        <v>1</v>
      </c>
      <c r="D7">
        <v>1</v>
      </c>
      <c r="G7">
        <v>1</v>
      </c>
      <c r="H7">
        <v>1</v>
      </c>
      <c r="J7" cm="1">
        <f t="array" ref="J7:K8">MMULT(A7:D8,G7:H10)</f>
        <v>0</v>
      </c>
      <c r="K7">
        <v>0</v>
      </c>
    </row>
    <row r="8" spans="1:13" x14ac:dyDescent="0.25">
      <c r="A8">
        <v>1</v>
      </c>
      <c r="B8">
        <v>2</v>
      </c>
      <c r="C8">
        <v>1</v>
      </c>
      <c r="D8">
        <v>-2</v>
      </c>
      <c r="G8">
        <v>-3</v>
      </c>
      <c r="H8">
        <v>3</v>
      </c>
      <c r="J8">
        <v>0</v>
      </c>
      <c r="K8">
        <v>0</v>
      </c>
    </row>
    <row r="9" spans="1:13" x14ac:dyDescent="0.25">
      <c r="G9">
        <v>3</v>
      </c>
      <c r="H9">
        <v>-5</v>
      </c>
    </row>
    <row r="10" spans="1:13" x14ac:dyDescent="0.25">
      <c r="G10">
        <v>-1</v>
      </c>
      <c r="H10">
        <v>1</v>
      </c>
    </row>
    <row r="14" spans="1:13" x14ac:dyDescent="0.25">
      <c r="B14">
        <v>2</v>
      </c>
      <c r="C14">
        <v>-1</v>
      </c>
      <c r="D14">
        <v>-2</v>
      </c>
      <c r="F14">
        <v>3</v>
      </c>
      <c r="G14">
        <v>2</v>
      </c>
      <c r="H14">
        <v>-5</v>
      </c>
      <c r="K14" cm="1">
        <f t="array" ref="K14:M16">(B14:D16*2) - (3*F14:H16)</f>
        <v>-5</v>
      </c>
      <c r="L14">
        <v>-8</v>
      </c>
      <c r="M14">
        <v>11</v>
      </c>
    </row>
    <row r="15" spans="1:13" x14ac:dyDescent="0.25">
      <c r="B15">
        <v>1</v>
      </c>
      <c r="C15">
        <v>0</v>
      </c>
      <c r="D15">
        <v>4</v>
      </c>
      <c r="F15">
        <v>4</v>
      </c>
      <c r="G15">
        <v>-1</v>
      </c>
      <c r="H15">
        <v>8</v>
      </c>
      <c r="K15">
        <v>-10</v>
      </c>
      <c r="L15">
        <v>3</v>
      </c>
      <c r="M15">
        <v>-16</v>
      </c>
    </row>
    <row r="16" spans="1:13" x14ac:dyDescent="0.25">
      <c r="B16">
        <v>2</v>
      </c>
      <c r="C16">
        <v>5</v>
      </c>
      <c r="D16">
        <v>-1</v>
      </c>
      <c r="F16">
        <v>-6</v>
      </c>
      <c r="G16">
        <v>2</v>
      </c>
      <c r="H16">
        <v>0</v>
      </c>
      <c r="K16">
        <v>22</v>
      </c>
      <c r="L16">
        <v>4</v>
      </c>
      <c r="M16">
        <v>-2</v>
      </c>
    </row>
    <row r="23" spans="1:12" x14ac:dyDescent="0.25">
      <c r="A23">
        <v>1</v>
      </c>
      <c r="B23">
        <v>2</v>
      </c>
      <c r="C23">
        <v>3</v>
      </c>
      <c r="E23" cm="1">
        <f t="array" ref="E23:G25">TRANSPOSE(A23:C25)</f>
        <v>1</v>
      </c>
      <c r="F23">
        <v>4</v>
      </c>
      <c r="G23">
        <v>7</v>
      </c>
      <c r="J23" cm="1">
        <f t="array" ref="J23:L25">MMULT(_xlfn.ANCHORARRAY(E23),A23:C25)</f>
        <v>66</v>
      </c>
      <c r="K23">
        <v>78</v>
      </c>
      <c r="L23">
        <v>90</v>
      </c>
    </row>
    <row r="24" spans="1:12" x14ac:dyDescent="0.25">
      <c r="A24">
        <v>4</v>
      </c>
      <c r="B24">
        <v>5</v>
      </c>
      <c r="C24">
        <v>6</v>
      </c>
      <c r="E24">
        <v>2</v>
      </c>
      <c r="F24">
        <v>5</v>
      </c>
      <c r="G24">
        <v>8</v>
      </c>
      <c r="J24">
        <v>78</v>
      </c>
      <c r="K24">
        <v>93</v>
      </c>
      <c r="L24">
        <v>108</v>
      </c>
    </row>
    <row r="25" spans="1:12" x14ac:dyDescent="0.25">
      <c r="A25">
        <v>7</v>
      </c>
      <c r="B25">
        <v>8</v>
      </c>
      <c r="C25">
        <v>9</v>
      </c>
      <c r="E25">
        <v>3</v>
      </c>
      <c r="F25">
        <v>6</v>
      </c>
      <c r="G25">
        <v>9</v>
      </c>
      <c r="J25">
        <v>90</v>
      </c>
      <c r="K25">
        <v>108</v>
      </c>
      <c r="L25">
        <v>126</v>
      </c>
    </row>
    <row r="29" spans="1:12" x14ac:dyDescent="0.25">
      <c r="B29">
        <v>1</v>
      </c>
      <c r="C29">
        <v>5</v>
      </c>
      <c r="E29" cm="1">
        <f t="array" ref="E29:F30">3*(MMULT(MMULT(B29:C30,B29:C30),B29:C30))+(MMULT(B29:C30,B29:C30))+H29:I30</f>
        <v>5</v>
      </c>
      <c r="F29">
        <v>95</v>
      </c>
      <c r="H29">
        <v>1</v>
      </c>
      <c r="I29">
        <v>0</v>
      </c>
    </row>
    <row r="30" spans="1:12" x14ac:dyDescent="0.25">
      <c r="B30">
        <v>0</v>
      </c>
      <c r="C30">
        <v>-3</v>
      </c>
      <c r="E30">
        <v>0</v>
      </c>
      <c r="F30">
        <v>-71</v>
      </c>
      <c r="H30">
        <v>0</v>
      </c>
      <c r="I30">
        <v>1</v>
      </c>
    </row>
    <row r="34" spans="1:19" x14ac:dyDescent="0.25">
      <c r="C34">
        <v>1</v>
      </c>
      <c r="D34">
        <v>1</v>
      </c>
      <c r="F34" cm="1">
        <f t="array" ref="F34:G35">MMULT(C34:D35,C34:D35)</f>
        <v>2</v>
      </c>
      <c r="G34">
        <v>2</v>
      </c>
      <c r="I34" cm="1">
        <f t="array" ref="I34:J35">MMULT(_xlfn.ANCHORARRAY(F34),C34:D35)</f>
        <v>4</v>
      </c>
      <c r="J34">
        <v>4</v>
      </c>
    </row>
    <row r="35" spans="1:19" x14ac:dyDescent="0.25">
      <c r="C35">
        <v>1</v>
      </c>
      <c r="D35">
        <v>1</v>
      </c>
      <c r="F35">
        <v>2</v>
      </c>
      <c r="G35">
        <v>2</v>
      </c>
      <c r="I35">
        <v>4</v>
      </c>
      <c r="J35">
        <v>4</v>
      </c>
      <c r="N35">
        <v>2</v>
      </c>
      <c r="O35">
        <v>3</v>
      </c>
    </row>
    <row r="36" spans="1:19" x14ac:dyDescent="0.25">
      <c r="M36" s="5"/>
      <c r="N36">
        <v>4</v>
      </c>
      <c r="O36">
        <v>5</v>
      </c>
    </row>
    <row r="39" spans="1:19" x14ac:dyDescent="0.25">
      <c r="B39" s="1" t="s">
        <v>1</v>
      </c>
      <c r="M39">
        <v>1</v>
      </c>
      <c r="N39">
        <v>0.8</v>
      </c>
      <c r="O39">
        <v>-0.2</v>
      </c>
      <c r="S39" cm="1">
        <f t="array" ref="S39:S41" xml:space="preserve"> MMULT(M39:O41,R44:R46)</f>
        <v>2</v>
      </c>
    </row>
    <row r="40" spans="1:19" x14ac:dyDescent="0.25">
      <c r="A40" s="2">
        <v>3</v>
      </c>
      <c r="B40" s="3">
        <v>-1</v>
      </c>
      <c r="C40" s="4">
        <v>0</v>
      </c>
      <c r="F40" s="5"/>
      <c r="G40" s="5"/>
      <c r="M40">
        <v>2</v>
      </c>
      <c r="N40">
        <v>2.4000000000000004</v>
      </c>
      <c r="O40">
        <v>-0.60000000000000009</v>
      </c>
      <c r="S40">
        <v>0.99999999999999822</v>
      </c>
    </row>
    <row r="41" spans="1:19" x14ac:dyDescent="0.25">
      <c r="A41" s="6">
        <v>-2</v>
      </c>
      <c r="B41">
        <v>1</v>
      </c>
      <c r="C41" s="7">
        <v>1</v>
      </c>
      <c r="F41" s="5"/>
      <c r="G41" s="5"/>
      <c r="H41" s="5"/>
      <c r="M41">
        <v>0</v>
      </c>
      <c r="N41">
        <v>0.2</v>
      </c>
      <c r="O41">
        <v>0.2</v>
      </c>
      <c r="S41">
        <v>3</v>
      </c>
    </row>
    <row r="42" spans="1:19" x14ac:dyDescent="0.25">
      <c r="A42" s="8">
        <v>2</v>
      </c>
      <c r="B42" s="9">
        <v>-1</v>
      </c>
      <c r="C42" s="10">
        <v>4</v>
      </c>
    </row>
    <row r="44" spans="1:19" x14ac:dyDescent="0.25">
      <c r="R44">
        <v>5</v>
      </c>
    </row>
    <row r="45" spans="1:19" x14ac:dyDescent="0.25">
      <c r="A45" s="11" t="s">
        <v>2</v>
      </c>
      <c r="R45">
        <v>0</v>
      </c>
    </row>
    <row r="46" spans="1:19" x14ac:dyDescent="0.25">
      <c r="R46">
        <v>15</v>
      </c>
    </row>
    <row r="47" spans="1:19" x14ac:dyDescent="0.25">
      <c r="A47" t="s">
        <v>3</v>
      </c>
      <c r="C47" s="12">
        <f>MDETERM(A40:C42)</f>
        <v>5</v>
      </c>
    </row>
    <row r="49" spans="1:10" x14ac:dyDescent="0.25">
      <c r="A49" t="s">
        <v>4</v>
      </c>
      <c r="E49" t="s">
        <v>5</v>
      </c>
      <c r="H49" t="s">
        <v>6</v>
      </c>
    </row>
    <row r="51" spans="1:10" x14ac:dyDescent="0.25">
      <c r="A51" t="s">
        <v>7</v>
      </c>
      <c r="B51" s="2">
        <f>B41</f>
        <v>1</v>
      </c>
      <c r="C51" s="4">
        <f>C41</f>
        <v>1</v>
      </c>
      <c r="D51">
        <f>MDETERM(B51:C52)</f>
        <v>5</v>
      </c>
      <c r="E51" t="s">
        <v>8</v>
      </c>
      <c r="F51" s="12">
        <f>-1^(1+1)*D51</f>
        <v>5</v>
      </c>
      <c r="H51" s="2">
        <f>F51</f>
        <v>5</v>
      </c>
      <c r="I51" s="3">
        <f>F54</f>
        <v>10</v>
      </c>
      <c r="J51" s="4">
        <f>F57</f>
        <v>0</v>
      </c>
    </row>
    <row r="52" spans="1:10" x14ac:dyDescent="0.25">
      <c r="B52" s="8">
        <f>B42</f>
        <v>-1</v>
      </c>
      <c r="C52" s="10">
        <f>C42</f>
        <v>4</v>
      </c>
      <c r="H52" s="6">
        <f>F60</f>
        <v>4</v>
      </c>
      <c r="I52">
        <f>F63</f>
        <v>12</v>
      </c>
      <c r="J52" s="7">
        <f>F66</f>
        <v>1</v>
      </c>
    </row>
    <row r="53" spans="1:10" x14ac:dyDescent="0.25">
      <c r="H53" s="8">
        <f>F69</f>
        <v>-1</v>
      </c>
      <c r="I53" s="9">
        <f>F72</f>
        <v>-3</v>
      </c>
      <c r="J53" s="10">
        <f>F75</f>
        <v>1</v>
      </c>
    </row>
    <row r="54" spans="1:10" x14ac:dyDescent="0.25">
      <c r="A54" t="s">
        <v>9</v>
      </c>
      <c r="B54" s="2">
        <f>A41</f>
        <v>-2</v>
      </c>
      <c r="C54" s="4">
        <f>C41</f>
        <v>1</v>
      </c>
      <c r="D54">
        <f>MDETERM(B54:C55)</f>
        <v>-10</v>
      </c>
      <c r="E54" t="s">
        <v>10</v>
      </c>
      <c r="F54" s="12">
        <f>-1^(1+2)*D54</f>
        <v>10</v>
      </c>
    </row>
    <row r="55" spans="1:10" x14ac:dyDescent="0.25">
      <c r="B55" s="8">
        <f>A42</f>
        <v>2</v>
      </c>
      <c r="C55" s="10">
        <f>C42</f>
        <v>4</v>
      </c>
      <c r="H55" t="s">
        <v>11</v>
      </c>
    </row>
    <row r="57" spans="1:10" x14ac:dyDescent="0.25">
      <c r="A57" t="s">
        <v>12</v>
      </c>
      <c r="B57" s="2">
        <f>A41</f>
        <v>-2</v>
      </c>
      <c r="C57" s="4">
        <f>B41</f>
        <v>1</v>
      </c>
      <c r="D57">
        <f>MDETERM(B57:C58)</f>
        <v>0</v>
      </c>
      <c r="E57" t="s">
        <v>13</v>
      </c>
      <c r="F57" s="12">
        <f>-1^(1+3)*D57</f>
        <v>0</v>
      </c>
      <c r="H57" s="2" cm="1">
        <f t="array" ref="H57:J59">TRANSPOSE(H51:J53)</f>
        <v>5</v>
      </c>
      <c r="I57" s="3">
        <v>4</v>
      </c>
      <c r="J57" s="4">
        <v>-1</v>
      </c>
    </row>
    <row r="58" spans="1:10" x14ac:dyDescent="0.25">
      <c r="B58" s="8">
        <f>A42</f>
        <v>2</v>
      </c>
      <c r="C58" s="10">
        <f>B42</f>
        <v>-1</v>
      </c>
      <c r="H58" s="6">
        <v>10</v>
      </c>
      <c r="I58">
        <v>12</v>
      </c>
      <c r="J58" s="7">
        <v>-3</v>
      </c>
    </row>
    <row r="59" spans="1:10" x14ac:dyDescent="0.25">
      <c r="H59" s="8">
        <v>0</v>
      </c>
      <c r="I59" s="9">
        <v>1</v>
      </c>
      <c r="J59" s="10">
        <v>1</v>
      </c>
    </row>
    <row r="60" spans="1:10" x14ac:dyDescent="0.25">
      <c r="A60" t="s">
        <v>14</v>
      </c>
      <c r="B60" s="2">
        <f>B40</f>
        <v>-1</v>
      </c>
      <c r="C60" s="4">
        <f>C40</f>
        <v>0</v>
      </c>
      <c r="D60">
        <f>MDETERM(B60:C61)</f>
        <v>-4</v>
      </c>
      <c r="E60" t="s">
        <v>15</v>
      </c>
      <c r="F60" s="12">
        <f>-1^(2+1)*D60</f>
        <v>4</v>
      </c>
    </row>
    <row r="61" spans="1:10" x14ac:dyDescent="0.25">
      <c r="B61" s="8">
        <f>B42</f>
        <v>-1</v>
      </c>
      <c r="C61" s="10">
        <f>C42</f>
        <v>4</v>
      </c>
      <c r="H61" t="s">
        <v>16</v>
      </c>
    </row>
    <row r="62" spans="1:10" x14ac:dyDescent="0.25">
      <c r="H62" s="5"/>
      <c r="I62" s="5"/>
      <c r="J62" s="5"/>
    </row>
    <row r="63" spans="1:10" x14ac:dyDescent="0.25">
      <c r="A63" t="s">
        <v>17</v>
      </c>
      <c r="B63" s="2">
        <f>A40</f>
        <v>3</v>
      </c>
      <c r="C63" s="4">
        <f>C40</f>
        <v>0</v>
      </c>
      <c r="D63">
        <f>MDETERM(B63:C64)</f>
        <v>12</v>
      </c>
      <c r="E63" t="s">
        <v>18</v>
      </c>
      <c r="F63" s="12">
        <f>-1^(2+2)*D63</f>
        <v>12</v>
      </c>
      <c r="H63" s="21" cm="1">
        <f t="array" ref="H63:J65">(1/C47)*_xlfn.ANCHORARRAY(H57)</f>
        <v>1</v>
      </c>
      <c r="I63" s="22">
        <v>0.8</v>
      </c>
      <c r="J63" s="23">
        <v>-0.2</v>
      </c>
    </row>
    <row r="64" spans="1:10" x14ac:dyDescent="0.25">
      <c r="B64" s="8">
        <f>A42</f>
        <v>2</v>
      </c>
      <c r="C64" s="10">
        <f>C42</f>
        <v>4</v>
      </c>
      <c r="H64" s="24">
        <v>2</v>
      </c>
      <c r="I64" s="25">
        <v>2.4000000000000004</v>
      </c>
      <c r="J64" s="26">
        <v>-0.60000000000000009</v>
      </c>
    </row>
    <row r="65" spans="1:10" x14ac:dyDescent="0.25">
      <c r="H65" s="27">
        <v>0</v>
      </c>
      <c r="I65" s="28">
        <v>0.2</v>
      </c>
      <c r="J65" s="29">
        <v>0.2</v>
      </c>
    </row>
    <row r="66" spans="1:10" x14ac:dyDescent="0.25">
      <c r="A66" t="s">
        <v>19</v>
      </c>
      <c r="B66" s="2">
        <f>A40</f>
        <v>3</v>
      </c>
      <c r="C66" s="4">
        <f>B40</f>
        <v>-1</v>
      </c>
      <c r="D66">
        <f>MDETERM(B66:C67)</f>
        <v>-1</v>
      </c>
      <c r="E66" t="s">
        <v>20</v>
      </c>
      <c r="F66" s="12">
        <f>-1^(2+3)*D66</f>
        <v>1</v>
      </c>
    </row>
    <row r="67" spans="1:10" x14ac:dyDescent="0.25">
      <c r="B67" s="8">
        <f>A42</f>
        <v>2</v>
      </c>
      <c r="C67" s="10">
        <f>B42</f>
        <v>-1</v>
      </c>
    </row>
    <row r="68" spans="1:10" x14ac:dyDescent="0.25">
      <c r="H68" t="s">
        <v>21</v>
      </c>
    </row>
    <row r="69" spans="1:10" x14ac:dyDescent="0.25">
      <c r="A69" t="s">
        <v>22</v>
      </c>
      <c r="B69" s="2">
        <f>B40</f>
        <v>-1</v>
      </c>
      <c r="C69" s="4">
        <f>C40</f>
        <v>0</v>
      </c>
      <c r="D69">
        <f>MDETERM(B69:C70)</f>
        <v>-1</v>
      </c>
      <c r="E69" t="s">
        <v>23</v>
      </c>
      <c r="F69" s="12">
        <f>-1^(3+1)*D69</f>
        <v>-1</v>
      </c>
    </row>
    <row r="70" spans="1:10" x14ac:dyDescent="0.25">
      <c r="B70" s="8">
        <f>B41</f>
        <v>1</v>
      </c>
      <c r="C70" s="10">
        <f>C41</f>
        <v>1</v>
      </c>
      <c r="H70" s="13" cm="1">
        <f t="array" ref="H70:J72">MMULT(_xlfn.ANCHORARRAY(H63),A40:C42)</f>
        <v>0.99999999999999989</v>
      </c>
      <c r="I70" s="14">
        <v>5.5511151231257827E-17</v>
      </c>
      <c r="J70" s="15">
        <v>0</v>
      </c>
    </row>
    <row r="71" spans="1:10" x14ac:dyDescent="0.25">
      <c r="H71" s="16">
        <v>-8.8817841970012523E-16</v>
      </c>
      <c r="I71" s="5">
        <v>1.0000000000000004</v>
      </c>
      <c r="J71" s="17">
        <v>0</v>
      </c>
    </row>
    <row r="72" spans="1:10" x14ac:dyDescent="0.25">
      <c r="A72" t="s">
        <v>24</v>
      </c>
      <c r="B72" s="2">
        <f>A40</f>
        <v>3</v>
      </c>
      <c r="C72" s="4">
        <f>C40</f>
        <v>0</v>
      </c>
      <c r="D72">
        <f>MDETERM(B72:C73)</f>
        <v>3</v>
      </c>
      <c r="E72" t="s">
        <v>25</v>
      </c>
      <c r="F72" s="12">
        <f>-1^(3+2)*D72</f>
        <v>-3</v>
      </c>
      <c r="H72" s="18">
        <v>0</v>
      </c>
      <c r="I72" s="19">
        <v>0</v>
      </c>
      <c r="J72" s="20">
        <v>1</v>
      </c>
    </row>
    <row r="73" spans="1:10" x14ac:dyDescent="0.25">
      <c r="B73" s="8">
        <f>A41</f>
        <v>-2</v>
      </c>
      <c r="C73" s="10">
        <f>C41</f>
        <v>1</v>
      </c>
    </row>
    <row r="75" spans="1:10" x14ac:dyDescent="0.25">
      <c r="A75" t="s">
        <v>26</v>
      </c>
      <c r="B75" s="2">
        <f>A40</f>
        <v>3</v>
      </c>
      <c r="C75" s="4">
        <f>B40</f>
        <v>-1</v>
      </c>
      <c r="D75">
        <f>MDETERM(B75:C76)</f>
        <v>1</v>
      </c>
      <c r="E75" t="s">
        <v>27</v>
      </c>
      <c r="F75" s="12">
        <f>-1^(3+3)*D75</f>
        <v>1</v>
      </c>
    </row>
    <row r="76" spans="1:10" x14ac:dyDescent="0.25">
      <c r="B76" s="8">
        <f>A41</f>
        <v>-2</v>
      </c>
      <c r="C76" s="10">
        <f>B41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C8D1-1334-448A-8674-42995B2FEF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2026-04-07T07:13:28Z</dcterms:created>
  <dcterms:modified xsi:type="dcterms:W3CDTF">2026-04-07T08:23:09Z</dcterms:modified>
</cp:coreProperties>
</file>