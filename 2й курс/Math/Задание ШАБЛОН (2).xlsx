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Math\"/>
    </mc:Choice>
  </mc:AlternateContent>
  <xr:revisionPtr revIDLastSave="0" documentId="13_ncr:1_{78C40506-2956-460B-80F7-A430A3170B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O2" i="1" a="1"/>
  <c r="O2" i="1" s="1"/>
  <c r="F14" i="1"/>
  <c r="D14" i="1"/>
  <c r="B36" i="1" l="1"/>
  <c r="C27" i="1"/>
  <c r="B18" i="1"/>
  <c r="C35" i="1"/>
  <c r="C26" i="1"/>
  <c r="C17" i="1"/>
  <c r="C36" i="1"/>
  <c r="B27" i="1"/>
  <c r="C20" i="1"/>
  <c r="C30" i="1"/>
  <c r="C32" i="1"/>
  <c r="D32" i="1" s="1"/>
  <c r="F32" i="1" s="1"/>
  <c r="H16" i="1" s="1"/>
  <c r="C29" i="1"/>
  <c r="B21" i="1"/>
  <c r="B30" i="1"/>
  <c r="C21" i="1"/>
  <c r="B32" i="1"/>
  <c r="C23" i="1"/>
  <c r="B15" i="1"/>
  <c r="C24" i="1"/>
  <c r="B33" i="1"/>
  <c r="B20" i="1"/>
  <c r="D20" i="1" s="1"/>
  <c r="F20" i="1" s="1"/>
  <c r="J14" i="1" s="1"/>
  <c r="B39" i="1"/>
  <c r="C15" i="1"/>
  <c r="C33" i="1"/>
  <c r="C18" i="1"/>
  <c r="C38" i="1"/>
  <c r="C39" i="1"/>
  <c r="B23" i="1"/>
  <c r="C14" i="1"/>
  <c r="B24" i="1"/>
  <c r="B17" i="1"/>
  <c r="D23" i="1"/>
  <c r="F23" i="1" s="1"/>
  <c r="H15" i="1" s="1"/>
  <c r="B57" i="1"/>
  <c r="F57" i="1" s="1"/>
  <c r="H52" i="1" s="1"/>
  <c r="B54" i="1"/>
  <c r="F54" i="1" s="1"/>
  <c r="I51" i="1" s="1"/>
  <c r="B51" i="1"/>
  <c r="C57" i="1" l="1"/>
  <c r="D17" i="1"/>
  <c r="F17" i="1" s="1"/>
  <c r="I14" i="1" s="1"/>
  <c r="H14" i="1"/>
  <c r="B35" i="1"/>
  <c r="D35" i="1" s="1"/>
  <c r="F35" i="1" s="1"/>
  <c r="I16" i="1" s="1"/>
  <c r="B26" i="1"/>
  <c r="D26" i="1" s="1"/>
  <c r="F26" i="1" s="1"/>
  <c r="I15" i="1" s="1"/>
  <c r="B29" i="1"/>
  <c r="D29" i="1" s="1"/>
  <c r="F29" i="1" s="1"/>
  <c r="J15" i="1" s="1"/>
  <c r="B38" i="1"/>
  <c r="D38" i="1" s="1"/>
  <c r="F38" i="1" s="1"/>
  <c r="J16" i="1" s="1"/>
  <c r="C10" i="1"/>
  <c r="C54" i="1"/>
  <c r="F51" i="1"/>
  <c r="H51" i="1" s="1"/>
  <c r="C51" i="1"/>
  <c r="C47" i="1"/>
  <c r="B60" i="1"/>
  <c r="H20" i="1" l="1" a="1"/>
  <c r="H20" i="1" s="1"/>
  <c r="H26" i="1" s="1" a="1"/>
  <c r="H26" i="1" s="1"/>
  <c r="F60" i="1"/>
  <c r="I52" i="1" s="1"/>
  <c r="H57" i="1" s="1" a="1"/>
  <c r="H57" i="1" s="1"/>
  <c r="H63" i="1" s="1" a="1"/>
  <c r="H63" i="1" s="1"/>
  <c r="H70" i="1" s="1" a="1"/>
  <c r="H70" i="1" s="1"/>
  <c r="C60" i="1"/>
  <c r="H33" i="1" l="1" a="1"/>
  <c r="H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<sst xmlns="http://schemas.openxmlformats.org/spreadsheetml/2006/main" count="44" uniqueCount="29">
  <si>
    <t>А</t>
  </si>
  <si>
    <t>В</t>
  </si>
  <si>
    <t>А^-1</t>
  </si>
  <si>
    <t>1. Определитель</t>
  </si>
  <si>
    <t>2. Все миноры</t>
  </si>
  <si>
    <t>М11</t>
  </si>
  <si>
    <t>М12</t>
  </si>
  <si>
    <t>М13</t>
  </si>
  <si>
    <t>М21</t>
  </si>
  <si>
    <t>М22</t>
  </si>
  <si>
    <t>М23</t>
  </si>
  <si>
    <t>М31</t>
  </si>
  <si>
    <t>М32</t>
  </si>
  <si>
    <t>М33</t>
  </si>
  <si>
    <t>3. Все алг.дополнения</t>
  </si>
  <si>
    <t>А11</t>
  </si>
  <si>
    <t>А12</t>
  </si>
  <si>
    <t>А13</t>
  </si>
  <si>
    <t>А21</t>
  </si>
  <si>
    <t>А22</t>
  </si>
  <si>
    <t>А23</t>
  </si>
  <si>
    <t>А31</t>
  </si>
  <si>
    <t>А32</t>
  </si>
  <si>
    <t>А33</t>
  </si>
  <si>
    <t>4. Матрица из Алг.дополненийа</t>
  </si>
  <si>
    <t>5. Транспонирование</t>
  </si>
  <si>
    <t>6. А^-1</t>
  </si>
  <si>
    <t>7. ПРОВЕРКА</t>
  </si>
  <si>
    <t>В^-1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</si>
</sst>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&quot;???/???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9" xfId="0" applyFill="1" applyBorder="1"/>
    <xf numFmtId="0" fontId="1" fillId="0" borderId="0" xfId="0" applyFont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horizontal="right" wrapText="1"/>
    </xf>
    <xf numFmtId="0" fontId="0" fillId="0" borderId="0" xfId="0" applyFill="1" applyBorder="1"/>
    <xf numFmtId="0" fontId="0" fillId="0" borderId="0" xfId="0" applyFill="1"/>
    <xf numFmtId="164" fontId="0" fillId="0" borderId="0" xfId="0" applyNumberFormat="1" applyFill="1" applyBorder="1"/>
    <xf numFmtId="2" fontId="0" fillId="2" borderId="2" xfId="0" applyNumberFormat="1" applyFill="1" applyBorder="1"/>
    <xf numFmtId="2" fontId="0" fillId="2" borderId="3" xfId="0" applyNumberFormat="1" applyFill="1" applyBorder="1"/>
    <xf numFmtId="2" fontId="0" fillId="2" borderId="4" xfId="0" applyNumberFormat="1" applyFill="1" applyBorder="1"/>
    <xf numFmtId="2" fontId="0" fillId="2" borderId="5" xfId="0" applyNumberFormat="1" applyFill="1" applyBorder="1"/>
    <xf numFmtId="2" fontId="0" fillId="2" borderId="0" xfId="0" applyNumberFormat="1" applyFill="1" applyBorder="1"/>
    <xf numFmtId="2" fontId="0" fillId="2" borderId="6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  <xf numFmtId="2" fontId="0" fillId="2" borderId="9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zoomScale="109" zoomScaleNormal="25" workbookViewId="0">
      <selection activeCell="L20" sqref="L20"/>
    </sheetView>
  </sheetViews>
  <sheetFormatPr defaultRowHeight="15" x14ac:dyDescent="0.25"/>
  <cols>
    <col min="6" max="6" width="10" bestFit="1" customWidth="1"/>
    <col min="7" max="8" width="10.28515625" bestFit="1" customWidth="1"/>
  </cols>
  <sheetData>
    <row r="1" spans="1:26" x14ac:dyDescent="0.25"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6" x14ac:dyDescent="0.25">
      <c r="B2" s="16" t="s">
        <v>0</v>
      </c>
      <c r="E2" s="6"/>
      <c r="F2" s="6"/>
      <c r="G2" s="6"/>
      <c r="H2" s="6"/>
      <c r="I2" s="6">
        <v>2</v>
      </c>
      <c r="J2" s="6">
        <v>3</v>
      </c>
      <c r="K2" s="6"/>
      <c r="L2" s="6">
        <v>1</v>
      </c>
      <c r="M2" s="26">
        <v>2</v>
      </c>
      <c r="N2" s="27"/>
      <c r="O2" s="27" cm="1">
        <f t="array" ref="O2:P3">MMULT(I2:J3,L2:M3)</f>
        <v>11</v>
      </c>
      <c r="P2" s="27">
        <v>16</v>
      </c>
      <c r="Q2" s="27"/>
      <c r="R2" s="27"/>
      <c r="S2" s="27"/>
      <c r="T2" s="27"/>
      <c r="U2" s="6"/>
      <c r="V2" s="6"/>
      <c r="W2" s="6"/>
      <c r="X2" s="6"/>
      <c r="Y2" s="6"/>
      <c r="Z2" s="6"/>
    </row>
    <row r="3" spans="1:26" x14ac:dyDescent="0.25">
      <c r="A3" s="2">
        <v>4</v>
      </c>
      <c r="B3" s="3">
        <v>23</v>
      </c>
      <c r="C3" s="4">
        <v>-1</v>
      </c>
      <c r="E3" s="6"/>
      <c r="F3" s="21"/>
      <c r="G3" s="21"/>
      <c r="H3" s="21"/>
      <c r="I3" s="6">
        <v>4</v>
      </c>
      <c r="J3" s="6">
        <v>5</v>
      </c>
      <c r="K3" s="6"/>
      <c r="L3" s="6">
        <v>3</v>
      </c>
      <c r="M3" s="27">
        <v>4</v>
      </c>
      <c r="N3" s="27"/>
      <c r="O3" s="27">
        <v>19</v>
      </c>
      <c r="P3" s="27">
        <v>28</v>
      </c>
      <c r="Q3" s="27"/>
      <c r="R3" s="27"/>
      <c r="S3" s="27"/>
      <c r="T3" s="27"/>
      <c r="U3" s="6"/>
      <c r="V3" s="6"/>
      <c r="W3" s="6"/>
      <c r="X3" s="6"/>
      <c r="Y3" s="6"/>
      <c r="Z3" s="6"/>
    </row>
    <row r="4" spans="1:26" x14ac:dyDescent="0.25">
      <c r="A4" s="5">
        <v>5</v>
      </c>
      <c r="B4" s="6">
        <v>-7</v>
      </c>
      <c r="C4" s="7">
        <v>29</v>
      </c>
      <c r="E4" s="6"/>
      <c r="F4" s="21"/>
      <c r="G4" s="21"/>
      <c r="H4" s="21"/>
      <c r="I4" s="6"/>
      <c r="J4" s="6"/>
      <c r="K4" s="6"/>
      <c r="L4" s="6"/>
      <c r="M4" s="28"/>
      <c r="N4" s="27"/>
      <c r="O4" s="29"/>
      <c r="P4" s="29"/>
      <c r="Q4" s="28"/>
      <c r="R4" s="29"/>
      <c r="S4" s="29"/>
      <c r="T4" s="29"/>
      <c r="U4" s="6"/>
      <c r="V4" s="6"/>
      <c r="W4" s="6"/>
      <c r="X4" s="6"/>
      <c r="Y4" s="6"/>
      <c r="Z4" s="6"/>
    </row>
    <row r="5" spans="1:26" x14ac:dyDescent="0.25">
      <c r="A5" s="8">
        <v>0</v>
      </c>
      <c r="B5" s="9">
        <v>3</v>
      </c>
      <c r="C5" s="10">
        <v>-2</v>
      </c>
      <c r="E5" s="6"/>
      <c r="F5" s="6"/>
      <c r="G5" s="6"/>
      <c r="H5" s="6"/>
      <c r="I5" s="6"/>
      <c r="J5" s="6"/>
      <c r="K5" s="6"/>
      <c r="L5" s="6"/>
      <c r="N5" s="27"/>
      <c r="O5" s="27"/>
      <c r="P5" s="29"/>
      <c r="Q5" s="27"/>
      <c r="R5" s="29"/>
      <c r="S5" s="29"/>
      <c r="T5" s="29"/>
      <c r="U5" s="6"/>
      <c r="V5" s="6"/>
      <c r="W5" s="6"/>
      <c r="X5" s="6"/>
      <c r="Y5" s="6"/>
      <c r="Z5" s="6"/>
    </row>
    <row r="6" spans="1:26" x14ac:dyDescent="0.25">
      <c r="E6" s="6"/>
      <c r="F6" s="6"/>
      <c r="G6" s="6"/>
      <c r="H6" s="6"/>
      <c r="I6" s="6"/>
      <c r="J6" s="6"/>
      <c r="K6" s="6"/>
      <c r="L6" s="6"/>
      <c r="O6" s="27"/>
      <c r="P6" s="27"/>
      <c r="Q6" s="27"/>
      <c r="R6" s="29"/>
      <c r="S6" s="29"/>
      <c r="T6" s="29"/>
      <c r="U6" s="6"/>
      <c r="V6" s="6"/>
      <c r="W6" s="6"/>
      <c r="X6" s="6"/>
      <c r="Y6" s="6"/>
      <c r="Z6" s="6"/>
    </row>
    <row r="7" spans="1:26" x14ac:dyDescent="0.25"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11" t="s">
        <v>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t="s">
        <v>3</v>
      </c>
      <c r="C10" s="1">
        <f>MDETERM(A3:C5)</f>
        <v>-77.000000000000043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t="s">
        <v>4</v>
      </c>
      <c r="E12" t="s">
        <v>14</v>
      </c>
      <c r="H12" t="s">
        <v>24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t="s">
        <v>5</v>
      </c>
      <c r="B14" s="2">
        <f>B4</f>
        <v>-7</v>
      </c>
      <c r="C14" s="4">
        <f>C4</f>
        <v>29</v>
      </c>
      <c r="D14">
        <f>MDETERM(B14:C15)</f>
        <v>-72.999999999999986</v>
      </c>
      <c r="E14" t="s">
        <v>15</v>
      </c>
      <c r="F14" s="1">
        <f>-1^(1+1)*D14</f>
        <v>-72.999999999999986</v>
      </c>
      <c r="H14" s="2">
        <f>F14</f>
        <v>-72.999999999999986</v>
      </c>
      <c r="I14" s="3">
        <f>F17</f>
        <v>10</v>
      </c>
      <c r="J14" s="4">
        <f>F20</f>
        <v>15</v>
      </c>
      <c r="N14" s="6"/>
      <c r="O14" s="6"/>
      <c r="P14" s="6"/>
      <c r="Q14" s="6"/>
    </row>
    <row r="15" spans="1:26" x14ac:dyDescent="0.25">
      <c r="B15" s="8">
        <f>B5</f>
        <v>3</v>
      </c>
      <c r="C15" s="10">
        <f>C5</f>
        <v>-2</v>
      </c>
      <c r="H15" s="5">
        <f>F23</f>
        <v>43</v>
      </c>
      <c r="I15" s="6">
        <f>F26</f>
        <v>-8</v>
      </c>
      <c r="J15" s="7">
        <f>F29</f>
        <v>-12</v>
      </c>
      <c r="N15" s="6"/>
      <c r="O15" s="6"/>
      <c r="P15" s="6"/>
      <c r="Q15" s="6"/>
    </row>
    <row r="16" spans="1:26" x14ac:dyDescent="0.25">
      <c r="H16" s="8">
        <f>F32</f>
        <v>660</v>
      </c>
      <c r="I16" s="9">
        <f>F35</f>
        <v>-121.00000000000001</v>
      </c>
      <c r="J16" s="10">
        <f>F38</f>
        <v>-143</v>
      </c>
      <c r="N16" s="6"/>
      <c r="O16" s="6"/>
      <c r="P16" s="6"/>
      <c r="Q16" s="6"/>
    </row>
    <row r="17" spans="1:26" x14ac:dyDescent="0.25">
      <c r="A17" t="s">
        <v>6</v>
      </c>
      <c r="B17" s="2">
        <f>A4</f>
        <v>5</v>
      </c>
      <c r="C17" s="4">
        <f>C4</f>
        <v>29</v>
      </c>
      <c r="D17">
        <f>MDETERM(B17:C18)</f>
        <v>-10</v>
      </c>
      <c r="E17" t="s">
        <v>16</v>
      </c>
      <c r="F17" s="1">
        <f>-1^(1+2)*D17</f>
        <v>10</v>
      </c>
      <c r="N17" s="6"/>
      <c r="O17" s="6"/>
      <c r="P17" s="6"/>
      <c r="Q17" s="6"/>
    </row>
    <row r="18" spans="1:26" x14ac:dyDescent="0.25">
      <c r="B18" s="8">
        <f>A5</f>
        <v>0</v>
      </c>
      <c r="C18" s="10">
        <f>C5</f>
        <v>-2</v>
      </c>
      <c r="H18" t="s">
        <v>25</v>
      </c>
      <c r="N18" s="6"/>
      <c r="O18" s="6"/>
      <c r="P18" s="6"/>
      <c r="Q18" s="6"/>
    </row>
    <row r="19" spans="1:26" x14ac:dyDescent="0.25">
      <c r="N19" s="6"/>
      <c r="O19" s="6"/>
      <c r="P19" s="6"/>
      <c r="Q19" s="6"/>
    </row>
    <row r="20" spans="1:26" x14ac:dyDescent="0.25">
      <c r="A20" t="s">
        <v>7</v>
      </c>
      <c r="B20" s="2">
        <f>A4</f>
        <v>5</v>
      </c>
      <c r="C20" s="4">
        <f>B4</f>
        <v>-7</v>
      </c>
      <c r="D20">
        <f>MDETERM(B20:C21)</f>
        <v>15</v>
      </c>
      <c r="E20" t="s">
        <v>17</v>
      </c>
      <c r="F20" s="1">
        <f>-1^(1+3)*D20</f>
        <v>15</v>
      </c>
      <c r="H20" s="2" cm="1">
        <f t="array" ref="H20:J22">TRANSPOSE(H14:J16)</f>
        <v>-72.999999999999986</v>
      </c>
      <c r="I20" s="3">
        <v>43</v>
      </c>
      <c r="J20" s="4">
        <v>660</v>
      </c>
      <c r="N20" s="6"/>
      <c r="O20" s="6"/>
      <c r="P20" s="6"/>
      <c r="Q20" s="6"/>
    </row>
    <row r="21" spans="1:26" x14ac:dyDescent="0.25">
      <c r="B21" s="8">
        <f>A5</f>
        <v>0</v>
      </c>
      <c r="C21" s="10">
        <f>B5</f>
        <v>3</v>
      </c>
      <c r="H21" s="5">
        <v>10</v>
      </c>
      <c r="I21" s="6">
        <v>-8</v>
      </c>
      <c r="J21" s="7">
        <v>-121.00000000000001</v>
      </c>
      <c r="N21" s="6"/>
      <c r="O21" s="6"/>
      <c r="P21" s="6"/>
      <c r="Q21" s="6"/>
    </row>
    <row r="22" spans="1:26" x14ac:dyDescent="0.25">
      <c r="H22" s="8">
        <v>15</v>
      </c>
      <c r="I22" s="9">
        <v>-12</v>
      </c>
      <c r="J22" s="10">
        <v>-143</v>
      </c>
      <c r="N22" s="6"/>
      <c r="O22" s="6"/>
      <c r="P22" s="6"/>
      <c r="Q22" s="6"/>
    </row>
    <row r="23" spans="1:26" x14ac:dyDescent="0.25">
      <c r="A23" t="s">
        <v>8</v>
      </c>
      <c r="B23" s="2">
        <f>B3</f>
        <v>23</v>
      </c>
      <c r="C23" s="4">
        <f>C3</f>
        <v>-1</v>
      </c>
      <c r="D23">
        <f>MDETERM(B23:C24)</f>
        <v>-43</v>
      </c>
      <c r="E23" t="s">
        <v>18</v>
      </c>
      <c r="F23" s="1">
        <f>-1^(2+1)*D23</f>
        <v>43</v>
      </c>
      <c r="N23" s="6"/>
      <c r="O23" s="6"/>
      <c r="P23" s="6"/>
      <c r="Q23" s="6"/>
    </row>
    <row r="24" spans="1:26" x14ac:dyDescent="0.25">
      <c r="B24" s="8">
        <f>B5</f>
        <v>3</v>
      </c>
      <c r="C24" s="10">
        <f>C5</f>
        <v>-2</v>
      </c>
      <c r="H24" t="s">
        <v>26</v>
      </c>
      <c r="N24" s="6"/>
      <c r="O24" s="6"/>
      <c r="P24" s="6"/>
      <c r="Q24" s="6"/>
    </row>
    <row r="25" spans="1:26" x14ac:dyDescent="0.25">
      <c r="N25" s="6"/>
      <c r="O25" s="6"/>
      <c r="P25" s="6"/>
      <c r="Q25" s="6"/>
    </row>
    <row r="26" spans="1:26" x14ac:dyDescent="0.25">
      <c r="A26" t="s">
        <v>9</v>
      </c>
      <c r="B26" s="2">
        <f>A3</f>
        <v>4</v>
      </c>
      <c r="C26" s="4">
        <f>C3</f>
        <v>-1</v>
      </c>
      <c r="D26">
        <f>MDETERM(B26:C27)</f>
        <v>-8</v>
      </c>
      <c r="E26" t="s">
        <v>19</v>
      </c>
      <c r="F26" s="1">
        <f>-1^(2+2)*D26</f>
        <v>-8</v>
      </c>
      <c r="H26" s="33" cm="1">
        <f t="array" ref="H26:J28">(1/C10)*_xlfn.ANCHORARRAY(H20)</f>
        <v>0.94805194805194726</v>
      </c>
      <c r="I26" s="34">
        <v>-0.55844155844155807</v>
      </c>
      <c r="J26" s="35">
        <v>-8.5714285714285658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B27" s="8">
        <f>A5</f>
        <v>0</v>
      </c>
      <c r="C27" s="10">
        <f>C5</f>
        <v>-2</v>
      </c>
      <c r="H27" s="36">
        <v>-0.1298701298701298</v>
      </c>
      <c r="I27" s="37">
        <v>0.10389610389610383</v>
      </c>
      <c r="J27" s="38">
        <v>1.5714285714285707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H28" s="39">
        <v>-0.19480519480519468</v>
      </c>
      <c r="I28" s="40">
        <v>0.15584415584415576</v>
      </c>
      <c r="J28" s="41">
        <v>1.8571428571428561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t="s">
        <v>10</v>
      </c>
      <c r="B29" s="2">
        <f>A3</f>
        <v>4</v>
      </c>
      <c r="C29" s="4">
        <f>B3</f>
        <v>23</v>
      </c>
      <c r="D29">
        <f>MDETERM(B29:C30)</f>
        <v>12</v>
      </c>
      <c r="E29" t="s">
        <v>20</v>
      </c>
      <c r="F29" s="1">
        <f>-1^(2+3)*D29</f>
        <v>-12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B30" s="8">
        <f>A5</f>
        <v>0</v>
      </c>
      <c r="C30" s="10">
        <f>B5</f>
        <v>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H31" t="s">
        <v>27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t="s">
        <v>11</v>
      </c>
      <c r="B32" s="2">
        <f>B3</f>
        <v>23</v>
      </c>
      <c r="C32" s="4">
        <f>C3</f>
        <v>-1</v>
      </c>
      <c r="D32">
        <f>MDETERM(B32:C33)</f>
        <v>660</v>
      </c>
      <c r="E32" t="s">
        <v>21</v>
      </c>
      <c r="F32" s="1">
        <f>-1^(3+1)*D32</f>
        <v>660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B33" s="8">
        <f>B4</f>
        <v>-7</v>
      </c>
      <c r="C33" s="10">
        <f>C4</f>
        <v>29</v>
      </c>
      <c r="H33" s="17" cm="1">
        <f t="array" ref="H33:J35">MMULT(_xlfn.ANCHORARRAY(H26),A3:C5)</f>
        <v>0.99999999999999867</v>
      </c>
      <c r="I33" s="18">
        <v>-3.5527136788005009E-15</v>
      </c>
      <c r="J33" s="19"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H34" s="20">
        <v>0</v>
      </c>
      <c r="I34" s="21">
        <v>0.99999999999999911</v>
      </c>
      <c r="J34" s="22">
        <v>-4.4408920985006262E-16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t="s">
        <v>12</v>
      </c>
      <c r="B35" s="2">
        <f>A3</f>
        <v>4</v>
      </c>
      <c r="C35" s="4">
        <f>C3</f>
        <v>-1</v>
      </c>
      <c r="D35">
        <f>MDETERM(B35:C36)</f>
        <v>121.00000000000001</v>
      </c>
      <c r="E35" t="s">
        <v>22</v>
      </c>
      <c r="F35" s="1">
        <f>-1^(3+2)*D35</f>
        <v>-121.00000000000001</v>
      </c>
      <c r="H35" s="23">
        <v>1.1102230246251565E-16</v>
      </c>
      <c r="I35" s="24">
        <v>8.8817841970012523E-16</v>
      </c>
      <c r="J35" s="25">
        <v>0.99999999999999956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B36" s="8">
        <f>A4</f>
        <v>5</v>
      </c>
      <c r="C36" s="10">
        <f>C4</f>
        <v>29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t="s">
        <v>13</v>
      </c>
      <c r="B38" s="2">
        <f>A3</f>
        <v>4</v>
      </c>
      <c r="C38" s="4">
        <f>B3</f>
        <v>23</v>
      </c>
      <c r="D38">
        <f>MDETERM(B38:C39)</f>
        <v>-143</v>
      </c>
      <c r="E38" t="s">
        <v>23</v>
      </c>
      <c r="F38" s="1">
        <f>-1^(3+3)*D38</f>
        <v>-143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B39" s="8">
        <f>A4</f>
        <v>5</v>
      </c>
      <c r="C39" s="10">
        <f>B4</f>
        <v>-7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B42" s="16" t="s">
        <v>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B43" s="2">
        <v>3</v>
      </c>
      <c r="C43" s="4">
        <v>31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B44" s="8">
        <v>5</v>
      </c>
      <c r="C44" s="10">
        <v>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11" t="s">
        <v>28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t="s">
        <v>3</v>
      </c>
      <c r="C47" s="1">
        <f>MDETERM(B43:C44)</f>
        <v>-149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t="s">
        <v>4</v>
      </c>
      <c r="E49" t="s">
        <v>14</v>
      </c>
      <c r="H49" t="s">
        <v>24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t="s">
        <v>5</v>
      </c>
      <c r="B51" s="1">
        <f>C44</f>
        <v>2</v>
      </c>
      <c r="C51" s="6">
        <f>MDETERM(B51)</f>
        <v>2</v>
      </c>
      <c r="D51" s="6"/>
      <c r="E51" t="s">
        <v>15</v>
      </c>
      <c r="F51" s="1">
        <f>-1^(1+1)*B51</f>
        <v>2</v>
      </c>
      <c r="H51" s="2">
        <f>F51</f>
        <v>2</v>
      </c>
      <c r="I51" s="4">
        <f>F54</f>
        <v>-5</v>
      </c>
      <c r="J51" s="6"/>
      <c r="L51" s="6"/>
      <c r="M51" s="6"/>
      <c r="N51" s="6"/>
      <c r="O51" s="6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x14ac:dyDescent="0.25">
      <c r="B52" s="6"/>
      <c r="C52" s="6"/>
      <c r="D52" s="6"/>
      <c r="H52" s="8">
        <f>F57</f>
        <v>-31</v>
      </c>
      <c r="I52" s="10">
        <f>F60</f>
        <v>3</v>
      </c>
      <c r="J52" s="6"/>
      <c r="L52" s="6"/>
      <c r="M52" s="6"/>
      <c r="N52" s="6"/>
      <c r="O52" s="6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x14ac:dyDescent="0.25">
      <c r="B53" s="6"/>
      <c r="C53" s="6"/>
      <c r="D53" s="6"/>
      <c r="L53" s="6"/>
      <c r="M53" s="6"/>
      <c r="N53" s="6"/>
      <c r="O53" s="6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x14ac:dyDescent="0.25">
      <c r="A54" t="s">
        <v>6</v>
      </c>
      <c r="B54" s="1">
        <f>B44</f>
        <v>5</v>
      </c>
      <c r="C54" s="6">
        <f>MDETERM(B54)</f>
        <v>5</v>
      </c>
      <c r="D54" s="6"/>
      <c r="E54" t="s">
        <v>16</v>
      </c>
      <c r="F54" s="1">
        <f>-1^(1+2)*B54</f>
        <v>-5</v>
      </c>
      <c r="L54" s="6"/>
      <c r="M54" s="6"/>
      <c r="N54" s="6"/>
      <c r="O54" s="6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x14ac:dyDescent="0.25">
      <c r="B55" s="6"/>
      <c r="C55" s="6"/>
      <c r="D55" s="6"/>
      <c r="H55" t="s">
        <v>25</v>
      </c>
      <c r="L55" s="6"/>
      <c r="M55" s="6"/>
      <c r="N55" s="6"/>
      <c r="O55" s="6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x14ac:dyDescent="0.25">
      <c r="B56" s="6"/>
      <c r="C56" s="6"/>
      <c r="D56" s="6"/>
      <c r="L56" s="6"/>
      <c r="M56" s="6"/>
      <c r="N56" s="6"/>
      <c r="O56" s="6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x14ac:dyDescent="0.25">
      <c r="A57" t="s">
        <v>8</v>
      </c>
      <c r="B57" s="1">
        <f>C43</f>
        <v>31</v>
      </c>
      <c r="C57" s="6">
        <f>MDETERM(B57)</f>
        <v>31</v>
      </c>
      <c r="D57" s="6"/>
      <c r="E57" t="s">
        <v>18</v>
      </c>
      <c r="F57" s="1">
        <f>-1^(2+1)*B57</f>
        <v>-31</v>
      </c>
      <c r="H57" s="2" cm="1">
        <f t="array" ref="H57:I58">TRANSPOSE(H51:I52)</f>
        <v>2</v>
      </c>
      <c r="I57" s="4">
        <v>-31</v>
      </c>
      <c r="J57" s="6"/>
      <c r="L57" s="6"/>
      <c r="M57" s="6"/>
      <c r="N57" s="6"/>
      <c r="O57" s="6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x14ac:dyDescent="0.25">
      <c r="B58" s="6"/>
      <c r="C58" s="6"/>
      <c r="D58" s="6"/>
      <c r="H58" s="8">
        <v>-5</v>
      </c>
      <c r="I58" s="10">
        <v>3</v>
      </c>
      <c r="J58" s="6"/>
      <c r="L58" s="6"/>
      <c r="M58" s="6"/>
      <c r="N58" s="6"/>
      <c r="O58" s="6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x14ac:dyDescent="0.25">
      <c r="B59" s="6"/>
      <c r="C59" s="6"/>
      <c r="D59" s="6"/>
      <c r="H59" s="6"/>
      <c r="I59" s="6"/>
      <c r="J59" s="6"/>
      <c r="L59" s="6"/>
      <c r="M59" s="6"/>
      <c r="N59" s="6"/>
      <c r="O59" s="6"/>
      <c r="P59" s="30"/>
      <c r="Q59" s="30"/>
      <c r="R59" s="30"/>
      <c r="S59" s="30"/>
      <c r="T59" s="30"/>
      <c r="U59" s="32"/>
      <c r="V59" s="32"/>
      <c r="W59" s="30"/>
      <c r="X59" s="30"/>
      <c r="Y59" s="30"/>
      <c r="Z59" s="30"/>
    </row>
    <row r="60" spans="1:26" x14ac:dyDescent="0.25">
      <c r="A60" t="s">
        <v>9</v>
      </c>
      <c r="B60" s="1">
        <f>B43</f>
        <v>3</v>
      </c>
      <c r="C60" s="6">
        <f>MDETERM(B60)</f>
        <v>3</v>
      </c>
      <c r="D60" s="6"/>
      <c r="E60" t="s">
        <v>19</v>
      </c>
      <c r="F60" s="1">
        <f>-1^(2+2)*B60</f>
        <v>3</v>
      </c>
      <c r="L60" s="6"/>
      <c r="M60" s="6"/>
      <c r="N60" s="6"/>
      <c r="O60" s="6"/>
      <c r="P60" s="30"/>
      <c r="Q60" s="30"/>
      <c r="R60" s="30"/>
      <c r="S60" s="30"/>
      <c r="T60" s="30"/>
      <c r="U60" s="32"/>
      <c r="V60" s="32"/>
      <c r="W60" s="30"/>
      <c r="X60" s="30"/>
      <c r="Y60" s="30"/>
      <c r="Z60" s="30"/>
    </row>
    <row r="61" spans="1:26" x14ac:dyDescent="0.25">
      <c r="B61" s="6"/>
      <c r="C61" s="6"/>
      <c r="D61" s="6"/>
      <c r="H61" t="s">
        <v>26</v>
      </c>
      <c r="L61" s="6"/>
      <c r="M61" s="6"/>
      <c r="N61" s="6"/>
      <c r="O61" s="6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x14ac:dyDescent="0.25">
      <c r="J62" s="31"/>
      <c r="L62" s="6"/>
      <c r="M62" s="6"/>
      <c r="N62" s="6"/>
      <c r="O62" s="6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x14ac:dyDescent="0.25">
      <c r="H63" s="12" cm="1">
        <f t="array" ref="H63:I64">(1/C47)*_xlfn.ANCHORARRAY(H57)</f>
        <v>-1.3422818791946308E-2</v>
      </c>
      <c r="I63" s="13">
        <v>0.20805369127516779</v>
      </c>
      <c r="J63" s="30"/>
      <c r="L63" s="6"/>
      <c r="M63" s="6"/>
      <c r="N63" s="6"/>
      <c r="O63" s="6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x14ac:dyDescent="0.25">
      <c r="H64" s="14">
        <v>3.3557046979865772E-2</v>
      </c>
      <c r="I64" s="15">
        <v>-2.0134228187919462E-2</v>
      </c>
      <c r="J64" s="30"/>
      <c r="L64" s="6"/>
      <c r="M64" s="6"/>
      <c r="N64" s="6"/>
      <c r="O64" s="6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7:26" x14ac:dyDescent="0.25">
      <c r="G65" s="31"/>
      <c r="H65" s="30"/>
      <c r="I65" s="30"/>
      <c r="J65" s="30"/>
      <c r="L65" s="6"/>
      <c r="M65" s="6"/>
      <c r="N65" s="6"/>
      <c r="O65" s="6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7:26" x14ac:dyDescent="0.25">
      <c r="G66" s="31"/>
      <c r="H66" s="31"/>
      <c r="I66" s="31"/>
      <c r="J66" s="31"/>
      <c r="L66" s="6"/>
      <c r="M66" s="6"/>
      <c r="N66" s="6"/>
      <c r="O66" s="6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7:26" x14ac:dyDescent="0.25">
      <c r="J67" s="31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7:26" x14ac:dyDescent="0.25">
      <c r="H68" t="s">
        <v>27</v>
      </c>
      <c r="J68" s="31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7:26" x14ac:dyDescent="0.25">
      <c r="J69" s="31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7:26" x14ac:dyDescent="0.25">
      <c r="H70" s="17" cm="1">
        <f t="array" ref="H70:I71">MMULT(_xlfn.ANCHORARRAY(H63),B43:C44)</f>
        <v>1</v>
      </c>
      <c r="I70" s="19">
        <v>0</v>
      </c>
      <c r="J70" s="3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7:26" x14ac:dyDescent="0.25">
      <c r="H71" s="23">
        <v>0</v>
      </c>
      <c r="I71" s="25">
        <v>1</v>
      </c>
      <c r="J71" s="30"/>
    </row>
    <row r="72" spans="7:26" x14ac:dyDescent="0.25">
      <c r="H72" s="6"/>
      <c r="I72" s="6"/>
      <c r="J72" s="30"/>
    </row>
    <row r="73" spans="7:26" x14ac:dyDescent="0.25">
      <c r="J73" s="31"/>
    </row>
    <row r="74" spans="7:26" x14ac:dyDescent="0.25">
      <c r="J74" s="31"/>
    </row>
    <row r="75" spans="7:26" x14ac:dyDescent="0.25">
      <c r="J75" s="31"/>
    </row>
    <row r="76" spans="7:26" x14ac:dyDescent="0.25">
      <c r="J76" s="3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23F5-BE39-42F5-B24F-F33E3DC6E23B}">
  <dimension ref="A1"/>
  <sheetViews>
    <sheetView workbookViewId="0">
      <selection activeCell="D13" sqref="D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UVC</dc:creator>
  <cp:lastModifiedBy>nazarbragin228@gmail.com</cp:lastModifiedBy>
  <dcterms:created xsi:type="dcterms:W3CDTF">2025-03-10T05:31:02Z</dcterms:created>
  <dcterms:modified xsi:type="dcterms:W3CDTF">2026-04-21T07:15:19Z</dcterms:modified>
</cp:coreProperties>
</file>