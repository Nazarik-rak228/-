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Math\"/>
    </mc:Choice>
  </mc:AlternateContent>
  <xr:revisionPtr revIDLastSave="0" documentId="8_{57A7D345-16D2-4B05-BBC5-0AB0C9D77CA6}" xr6:coauthVersionLast="47" xr6:coauthVersionMax="47" xr10:uidLastSave="{00000000-0000-0000-0000-000000000000}"/>
  <bookViews>
    <workbookView xWindow="5535" yWindow="5535" windowWidth="11625" windowHeight="10650" activeTab="2" xr2:uid="{7AFC12BA-9DE9-48AE-8F65-A7BBD8228FB7}"/>
  </bookViews>
  <sheets>
    <sheet name="Крамер" sheetId="1" r:id="rId1"/>
    <sheet name="Матричный метод" sheetId="2" r:id="rId2"/>
    <sheet name="Гаусс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3" l="1" a="1"/>
  <c r="H12" i="3" s="1"/>
  <c r="K10" i="3"/>
  <c r="J10" i="3"/>
  <c r="I10" i="3"/>
  <c r="H10" i="3"/>
  <c r="K11" i="3"/>
  <c r="J11" i="3"/>
  <c r="I11" i="3"/>
  <c r="H11" i="3"/>
  <c r="B12" i="3" a="1"/>
  <c r="B12" i="3" s="1"/>
  <c r="B11" i="3" a="1"/>
  <c r="B11" i="3" s="1"/>
  <c r="E10" i="3"/>
  <c r="D10" i="3"/>
  <c r="C10" i="3"/>
  <c r="B10" i="3"/>
  <c r="F60" i="2"/>
  <c r="I52" i="2" s="1"/>
  <c r="C60" i="2"/>
  <c r="B60" i="2"/>
  <c r="F57" i="2"/>
  <c r="H52" i="2" s="1"/>
  <c r="C57" i="2"/>
  <c r="B57" i="2"/>
  <c r="F54" i="2"/>
  <c r="C54" i="2"/>
  <c r="B54" i="2"/>
  <c r="I51" i="2"/>
  <c r="B51" i="2"/>
  <c r="F51" i="2" s="1"/>
  <c r="H51" i="2" s="1"/>
  <c r="H57" i="2" s="1" a="1"/>
  <c r="H57" i="2" s="1"/>
  <c r="C47" i="2"/>
  <c r="C39" i="2"/>
  <c r="B39" i="2"/>
  <c r="C38" i="2"/>
  <c r="B38" i="2"/>
  <c r="C36" i="2"/>
  <c r="B36" i="2"/>
  <c r="C35" i="2"/>
  <c r="B35" i="2"/>
  <c r="D35" i="2" s="1"/>
  <c r="F35" i="2" s="1"/>
  <c r="I16" i="2" s="1"/>
  <c r="C33" i="2"/>
  <c r="B33" i="2"/>
  <c r="C32" i="2"/>
  <c r="B32" i="2"/>
  <c r="C30" i="2"/>
  <c r="B30" i="2"/>
  <c r="C29" i="2"/>
  <c r="B29" i="2"/>
  <c r="C27" i="2"/>
  <c r="B27" i="2"/>
  <c r="C26" i="2"/>
  <c r="B26" i="2"/>
  <c r="C24" i="2"/>
  <c r="B24" i="2"/>
  <c r="C23" i="2"/>
  <c r="B23" i="2"/>
  <c r="C21" i="2"/>
  <c r="B21" i="2"/>
  <c r="C20" i="2"/>
  <c r="B20" i="2"/>
  <c r="D20" i="2" s="1"/>
  <c r="F20" i="2" s="1"/>
  <c r="J14" i="2" s="1"/>
  <c r="C18" i="2"/>
  <c r="B18" i="2"/>
  <c r="C17" i="2"/>
  <c r="B17" i="2"/>
  <c r="C15" i="2"/>
  <c r="B15" i="2"/>
  <c r="C14" i="2"/>
  <c r="B14" i="2"/>
  <c r="C10" i="2"/>
  <c r="D23" i="2" l="1"/>
  <c r="F23" i="2" s="1"/>
  <c r="H15" i="2" s="1"/>
  <c r="D38" i="2"/>
  <c r="F38" i="2" s="1"/>
  <c r="J16" i="2" s="1"/>
  <c r="D26" i="2"/>
  <c r="F26" i="2" s="1"/>
  <c r="I15" i="2" s="1"/>
  <c r="D29" i="2"/>
  <c r="F29" i="2" s="1"/>
  <c r="J15" i="2" s="1"/>
  <c r="D17" i="2"/>
  <c r="F17" i="2" s="1"/>
  <c r="I14" i="2" s="1"/>
  <c r="D14" i="2"/>
  <c r="F14" i="2" s="1"/>
  <c r="H14" i="2" s="1"/>
  <c r="D32" i="2"/>
  <c r="F32" i="2" s="1"/>
  <c r="H16" i="2" s="1"/>
  <c r="H63" i="2" a="1"/>
  <c r="H63" i="2" s="1"/>
  <c r="H70" i="2" s="1" a="1"/>
  <c r="H70" i="2" s="1"/>
  <c r="C51" i="2"/>
  <c r="H20" i="2" l="1" a="1"/>
  <c r="H20" i="2" s="1"/>
  <c r="H26" i="2" s="1" a="1"/>
  <c r="H26" i="2" s="1"/>
  <c r="C22" i="1"/>
  <c r="C21" i="1"/>
  <c r="C20" i="1"/>
  <c r="B22" i="1"/>
  <c r="B21" i="1"/>
  <c r="B20" i="1"/>
  <c r="A22" i="1"/>
  <c r="A21" i="1"/>
  <c r="A20" i="1"/>
  <c r="B15" i="1"/>
  <c r="C17" i="1"/>
  <c r="C16" i="1"/>
  <c r="C15" i="1"/>
  <c r="B17" i="1"/>
  <c r="B16" i="1"/>
  <c r="A17" i="1"/>
  <c r="A16" i="1"/>
  <c r="A15" i="1"/>
  <c r="C10" i="1"/>
  <c r="C11" i="1"/>
  <c r="C12" i="1"/>
  <c r="B12" i="1"/>
  <c r="B11" i="1"/>
  <c r="B10" i="1"/>
  <c r="A12" i="1"/>
  <c r="A11" i="1"/>
  <c r="B6" i="1"/>
  <c r="A10" i="1"/>
  <c r="H33" i="2" l="1" a="1"/>
  <c r="H33" i="2" s="1"/>
  <c r="N5" i="2" a="1"/>
  <c r="N5" i="2" s="1"/>
  <c r="E15" i="1"/>
  <c r="I9" i="1" s="1"/>
  <c r="E10" i="1"/>
  <c r="I5" i="1" s="1"/>
  <c r="E20" i="1"/>
  <c r="I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<sst xmlns="http://schemas.openxmlformats.org/spreadsheetml/2006/main" count="66" uniqueCount="47">
  <si>
    <t>∆1</t>
  </si>
  <si>
    <t>∆2</t>
  </si>
  <si>
    <t>∆3</t>
  </si>
  <si>
    <t>=</t>
  </si>
  <si>
    <t>Мопред</t>
  </si>
  <si>
    <t>Ответ</t>
  </si>
  <si>
    <t>Формулы Крамера</t>
  </si>
  <si>
    <t>X1</t>
  </si>
  <si>
    <t>X2</t>
  </si>
  <si>
    <t>X3</t>
  </si>
  <si>
    <t>А</t>
  </si>
  <si>
    <t>А^-1</t>
  </si>
  <si>
    <t>1. Определитель</t>
  </si>
  <si>
    <t>2. Все миноры</t>
  </si>
  <si>
    <t>3. Все алг.дополнения</t>
  </si>
  <si>
    <t>4. Матрица из Алг.дополненийа</t>
  </si>
  <si>
    <t>М11</t>
  </si>
  <si>
    <t>А11</t>
  </si>
  <si>
    <t>М12</t>
  </si>
  <si>
    <t>А12</t>
  </si>
  <si>
    <t>5. Транспонирование</t>
  </si>
  <si>
    <t>М13</t>
  </si>
  <si>
    <t>А13</t>
  </si>
  <si>
    <t>М21</t>
  </si>
  <si>
    <t>А21</t>
  </si>
  <si>
    <t>6. А^-1</t>
  </si>
  <si>
    <t>М22</t>
  </si>
  <si>
    <t>А22</t>
  </si>
  <si>
    <t>М23</t>
  </si>
  <si>
    <t>А23</t>
  </si>
  <si>
    <t>7. ПРОВЕРКА</t>
  </si>
  <si>
    <t>М31</t>
  </si>
  <si>
    <t>А31</t>
  </si>
  <si>
    <t>М32</t>
  </si>
  <si>
    <t>А32</t>
  </si>
  <si>
    <t>М33</t>
  </si>
  <si>
    <t>А33</t>
  </si>
  <si>
    <t>Метод Матричный для системы уравнений</t>
  </si>
  <si>
    <t xml:space="preserve">B для системы уравнений </t>
  </si>
  <si>
    <t xml:space="preserve">A </t>
  </si>
  <si>
    <t>A^-1</t>
  </si>
  <si>
    <t>для матрицы 2х2</t>
  </si>
  <si>
    <t>это короче нужно для матричного, все…</t>
  </si>
  <si>
    <t xml:space="preserve">    </t>
  </si>
  <si>
    <t xml:space="preserve">A  расширенная </t>
  </si>
  <si>
    <t xml:space="preserve">прямой ход </t>
  </si>
  <si>
    <t>А ма трица с отрицанием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</si>
</sst>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rgb="FF00206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9"/>
      <name val="Aptos Narrow"/>
      <family val="2"/>
      <charset val="204"/>
      <scheme val="minor"/>
    </font>
    <font>
      <sz val="11"/>
      <color theme="3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2" borderId="1" xfId="0" applyFont="1" applyFill="1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0" borderId="6" xfId="0" applyBorder="1"/>
    <xf numFmtId="0" fontId="0" fillId="0" borderId="1" xfId="0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0" fontId="2" fillId="2" borderId="14" xfId="0" applyFont="1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0" xfId="0" applyNumberFormat="1"/>
    <xf numFmtId="0" fontId="0" fillId="0" borderId="18" xfId="0" applyBorder="1"/>
    <xf numFmtId="0" fontId="0" fillId="0" borderId="19" xfId="0" applyBorder="1"/>
    <xf numFmtId="0" fontId="3" fillId="0" borderId="0" xfId="0" applyFont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3" borderId="15" xfId="0" applyNumberFormat="1" applyFill="1" applyBorder="1"/>
    <xf numFmtId="2" fontId="0" fillId="3" borderId="16" xfId="0" applyNumberFormat="1" applyFill="1" applyBorder="1"/>
    <xf numFmtId="2" fontId="0" fillId="3" borderId="17" xfId="0" applyNumberFormat="1" applyFill="1" applyBorder="1"/>
    <xf numFmtId="2" fontId="0" fillId="3" borderId="18" xfId="0" applyNumberFormat="1" applyFill="1" applyBorder="1"/>
    <xf numFmtId="2" fontId="0" fillId="3" borderId="19" xfId="0" applyNumberFormat="1" applyFill="1" applyBorder="1"/>
    <xf numFmtId="2" fontId="0" fillId="3" borderId="20" xfId="0" applyNumberFormat="1" applyFill="1" applyBorder="1"/>
    <xf numFmtId="2" fontId="0" fillId="3" borderId="21" xfId="0" applyNumberFormat="1" applyFill="1" applyBorder="1"/>
    <xf numFmtId="2" fontId="0" fillId="3" borderId="22" xfId="0" applyNumberFormat="1" applyFill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0" fontId="0" fillId="3" borderId="15" xfId="0" applyFill="1" applyBorder="1"/>
    <xf numFmtId="0" fontId="0" fillId="3" borderId="17" xfId="0" applyFill="1" applyBorder="1"/>
    <xf numFmtId="0" fontId="0" fillId="3" borderId="20" xfId="0" applyFill="1" applyBorder="1"/>
    <xf numFmtId="0" fontId="0" fillId="3" borderId="22" xfId="0" applyFill="1" applyBorder="1"/>
    <xf numFmtId="0" fontId="0" fillId="0" borderId="3" xfId="0" applyBorder="1"/>
    <xf numFmtId="0" fontId="4" fillId="0" borderId="2" xfId="0" applyFont="1" applyBorder="1" applyAlignment="1">
      <alignment horizontal="right" wrapText="1"/>
    </xf>
    <xf numFmtId="0" fontId="4" fillId="0" borderId="2" xfId="0" applyFont="1" applyBorder="1"/>
    <xf numFmtId="0" fontId="4" fillId="0" borderId="3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4" borderId="2" xfId="0" applyFont="1" applyFill="1" applyBorder="1"/>
    <xf numFmtId="0" fontId="5" fillId="4" borderId="3" xfId="0" applyFont="1" applyFill="1" applyBorder="1"/>
    <xf numFmtId="2" fontId="5" fillId="0" borderId="4" xfId="0" applyNumberFormat="1" applyFont="1" applyBorder="1"/>
    <xf numFmtId="2" fontId="0" fillId="0" borderId="0" xfId="0" applyNumberFormat="1" applyBorder="1"/>
    <xf numFmtId="2" fontId="0" fillId="0" borderId="5" xfId="0" applyNumberFormat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5" fillId="4" borderId="1" xfId="0" applyFont="1" applyFill="1" applyBorder="1"/>
    <xf numFmtId="0" fontId="3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2" fontId="0" fillId="0" borderId="2" xfId="0" applyNumberFormat="1" applyBorder="1"/>
    <xf numFmtId="2" fontId="0" fillId="0" borderId="3" xfId="0" applyNumberFormat="1" applyBorder="1"/>
    <xf numFmtId="2" fontId="5" fillId="0" borderId="1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3" borderId="1" xfId="0" applyFill="1" applyBorder="1"/>
    <xf numFmtId="2" fontId="0" fillId="3" borderId="0" xfId="0" applyNumberFormat="1" applyFill="1" applyBorder="1"/>
    <xf numFmtId="0" fontId="3" fillId="3" borderId="2" xfId="0" applyFont="1" applyFill="1" applyBorder="1"/>
    <xf numFmtId="0" fontId="0" fillId="3" borderId="4" xfId="0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3" borderId="0" xfId="0" applyFill="1" applyBorder="1"/>
    <xf numFmtId="0" fontId="0" fillId="3" borderId="7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3" borderId="12" xfId="0" applyFill="1" applyBorder="1"/>
    <xf numFmtId="0" fontId="0" fillId="3" borderId="13" xfId="0" applyFill="1" applyBorder="1"/>
    <xf numFmtId="0" fontId="0" fillId="4" borderId="4" xfId="0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13F3-98B1-4FDA-BCC9-9337D7BC5226}">
  <dimension ref="A1:M22"/>
  <sheetViews>
    <sheetView workbookViewId="0">
      <selection activeCell="E39" sqref="E39"/>
    </sheetView>
  </sheetViews>
  <sheetFormatPr defaultRowHeight="15" x14ac:dyDescent="0.25"/>
  <sheetData>
    <row r="1" spans="1:13" ht="15.75" thickBot="1" x14ac:dyDescent="0.3">
      <c r="H1" s="96" t="s">
        <v>6</v>
      </c>
      <c r="I1" s="97"/>
      <c r="J1" s="97"/>
      <c r="K1" s="97"/>
      <c r="L1" s="97"/>
      <c r="M1" s="98"/>
    </row>
    <row r="2" spans="1:13" ht="15.75" thickBot="1" x14ac:dyDescent="0.3">
      <c r="A2" s="1" t="s">
        <v>46</v>
      </c>
      <c r="B2" s="2"/>
      <c r="C2" s="2"/>
      <c r="D2" s="2"/>
      <c r="E2" s="14"/>
      <c r="H2" s="99"/>
      <c r="I2" s="100"/>
      <c r="J2" s="100"/>
      <c r="K2" s="100"/>
      <c r="L2" s="100"/>
      <c r="M2" s="101"/>
    </row>
    <row r="3" spans="1:13" x14ac:dyDescent="0.25">
      <c r="A3" s="10">
        <v>2</v>
      </c>
      <c r="B3" s="2">
        <v>1</v>
      </c>
      <c r="C3" s="52">
        <v>-1</v>
      </c>
      <c r="D3" s="4" t="s">
        <v>3</v>
      </c>
      <c r="E3" s="12">
        <v>25</v>
      </c>
      <c r="H3" s="3"/>
      <c r="I3" s="4"/>
      <c r="J3" s="4"/>
      <c r="K3" s="4"/>
      <c r="L3" s="4"/>
      <c r="M3" s="5"/>
    </row>
    <row r="4" spans="1:13" ht="15.75" thickBot="1" x14ac:dyDescent="0.3">
      <c r="A4" s="3">
        <v>1</v>
      </c>
      <c r="B4" s="4">
        <v>-2</v>
      </c>
      <c r="C4" s="5">
        <v>3</v>
      </c>
      <c r="D4" s="4" t="s">
        <v>3</v>
      </c>
      <c r="E4" s="12">
        <v>25</v>
      </c>
      <c r="H4" s="3"/>
      <c r="I4" s="4"/>
      <c r="J4" s="4"/>
      <c r="K4" s="4"/>
      <c r="L4" s="4"/>
      <c r="M4" s="5"/>
    </row>
    <row r="5" spans="1:13" ht="15.75" thickBot="1" x14ac:dyDescent="0.3">
      <c r="A5" s="9">
        <v>3</v>
      </c>
      <c r="B5" s="6">
        <v>1</v>
      </c>
      <c r="C5" s="7">
        <v>1</v>
      </c>
      <c r="D5" s="4" t="s">
        <v>3</v>
      </c>
      <c r="E5" s="12">
        <v>44</v>
      </c>
      <c r="H5" s="15" t="s">
        <v>7</v>
      </c>
      <c r="I5" s="16">
        <f>E10/B6</f>
        <v>14.555555555555559</v>
      </c>
      <c r="J5" s="4"/>
      <c r="K5" s="4"/>
      <c r="L5" s="4"/>
      <c r="M5" s="5"/>
    </row>
    <row r="6" spans="1:13" ht="15.75" thickBot="1" x14ac:dyDescent="0.3">
      <c r="A6" s="15" t="s">
        <v>4</v>
      </c>
      <c r="B6" s="18">
        <f>MDETERM(A3:C5)</f>
        <v>-9</v>
      </c>
      <c r="C6" s="17"/>
      <c r="D6" s="16"/>
      <c r="E6" s="13"/>
      <c r="H6" s="3"/>
      <c r="I6" s="4"/>
      <c r="J6" s="4"/>
      <c r="K6" s="4"/>
      <c r="L6" s="4"/>
      <c r="M6" s="5"/>
    </row>
    <row r="7" spans="1:13" x14ac:dyDescent="0.25">
      <c r="H7" s="3"/>
      <c r="I7" s="4"/>
      <c r="J7" s="4"/>
      <c r="K7" s="4"/>
      <c r="L7" s="4"/>
      <c r="M7" s="5"/>
    </row>
    <row r="8" spans="1:13" ht="15.75" thickBot="1" x14ac:dyDescent="0.3">
      <c r="H8" s="3"/>
      <c r="I8" s="4"/>
      <c r="J8" s="4"/>
      <c r="K8" s="4"/>
      <c r="L8" s="4"/>
      <c r="M8" s="5"/>
    </row>
    <row r="9" spans="1:13" ht="15.75" thickBot="1" x14ac:dyDescent="0.3">
      <c r="A9" s="8" t="s">
        <v>0</v>
      </c>
      <c r="B9" s="2"/>
      <c r="C9" s="2"/>
      <c r="D9" s="2"/>
      <c r="E9" s="11" t="s">
        <v>5</v>
      </c>
      <c r="H9" s="15" t="s">
        <v>8</v>
      </c>
      <c r="I9" s="16">
        <f>E15/B6</f>
        <v>-1.8888888888888904</v>
      </c>
      <c r="J9" s="4"/>
      <c r="K9" s="4"/>
      <c r="L9" s="4"/>
      <c r="M9" s="5"/>
    </row>
    <row r="10" spans="1:13" x14ac:dyDescent="0.25">
      <c r="A10" s="3">
        <f>E3</f>
        <v>25</v>
      </c>
      <c r="B10" s="4">
        <f t="shared" ref="B10:C12" si="0">B3</f>
        <v>1</v>
      </c>
      <c r="C10" s="4">
        <f t="shared" si="0"/>
        <v>-1</v>
      </c>
      <c r="D10" s="4"/>
      <c r="E10" s="12">
        <f>MDETERM(A10:C12)</f>
        <v>-131.00000000000003</v>
      </c>
      <c r="H10" s="3"/>
      <c r="I10" s="4"/>
      <c r="J10" s="4"/>
      <c r="K10" s="4"/>
      <c r="L10" s="4"/>
      <c r="M10" s="5"/>
    </row>
    <row r="11" spans="1:13" x14ac:dyDescent="0.25">
      <c r="A11" s="3">
        <f>E4</f>
        <v>25</v>
      </c>
      <c r="B11" s="4">
        <f t="shared" si="0"/>
        <v>-2</v>
      </c>
      <c r="C11" s="4">
        <f t="shared" si="0"/>
        <v>3</v>
      </c>
      <c r="D11" s="4"/>
      <c r="E11" s="12"/>
      <c r="H11" s="3"/>
      <c r="I11" s="4"/>
      <c r="J11" s="4"/>
      <c r="K11" s="4"/>
      <c r="L11" s="4"/>
      <c r="M11" s="5"/>
    </row>
    <row r="12" spans="1:13" ht="15.75" thickBot="1" x14ac:dyDescent="0.3">
      <c r="A12" s="9">
        <f>E5</f>
        <v>44</v>
      </c>
      <c r="B12" s="6">
        <f t="shared" si="0"/>
        <v>1</v>
      </c>
      <c r="C12" s="6">
        <f t="shared" si="0"/>
        <v>1</v>
      </c>
      <c r="D12" s="6"/>
      <c r="E12" s="13"/>
      <c r="H12" s="3"/>
      <c r="I12" s="4"/>
      <c r="J12" s="4"/>
      <c r="K12" s="4"/>
      <c r="L12" s="4"/>
      <c r="M12" s="5"/>
    </row>
    <row r="13" spans="1:13" ht="15.75" thickBot="1" x14ac:dyDescent="0.3">
      <c r="H13" s="15" t="s">
        <v>9</v>
      </c>
      <c r="I13" s="16">
        <f>E20/B6</f>
        <v>2.2222222222222214</v>
      </c>
      <c r="J13" s="6"/>
      <c r="K13" s="6"/>
      <c r="L13" s="6"/>
      <c r="M13" s="7"/>
    </row>
    <row r="14" spans="1:13" x14ac:dyDescent="0.25">
      <c r="A14" s="10" t="s">
        <v>1</v>
      </c>
      <c r="B14" s="2"/>
      <c r="C14" s="2"/>
      <c r="D14" s="2"/>
      <c r="E14" s="11" t="s">
        <v>5</v>
      </c>
    </row>
    <row r="15" spans="1:13" x14ac:dyDescent="0.25">
      <c r="A15" s="3">
        <f>A3</f>
        <v>2</v>
      </c>
      <c r="B15" s="4">
        <f>E3</f>
        <v>25</v>
      </c>
      <c r="C15" s="4">
        <f>C3</f>
        <v>-1</v>
      </c>
      <c r="D15" s="4"/>
      <c r="E15" s="12">
        <f>MDETERM(A15:C17)</f>
        <v>17.000000000000014</v>
      </c>
    </row>
    <row r="16" spans="1:13" x14ac:dyDescent="0.25">
      <c r="A16" s="3">
        <f>A4</f>
        <v>1</v>
      </c>
      <c r="B16" s="4">
        <f>E4</f>
        <v>25</v>
      </c>
      <c r="C16" s="4">
        <f>C4</f>
        <v>3</v>
      </c>
      <c r="D16" s="4"/>
      <c r="E16" s="12"/>
    </row>
    <row r="17" spans="1:5" ht="15.75" thickBot="1" x14ac:dyDescent="0.3">
      <c r="A17" s="9">
        <f>A5</f>
        <v>3</v>
      </c>
      <c r="B17" s="6">
        <f>E5</f>
        <v>44</v>
      </c>
      <c r="C17" s="6">
        <f>C5</f>
        <v>1</v>
      </c>
      <c r="D17" s="6"/>
      <c r="E17" s="13"/>
    </row>
    <row r="18" spans="1:5" ht="15.75" thickBot="1" x14ac:dyDescent="0.3"/>
    <row r="19" spans="1:5" x14ac:dyDescent="0.25">
      <c r="A19" s="10" t="s">
        <v>2</v>
      </c>
      <c r="B19" s="2"/>
      <c r="C19" s="2"/>
      <c r="D19" s="2"/>
      <c r="E19" s="11" t="s">
        <v>5</v>
      </c>
    </row>
    <row r="20" spans="1:5" x14ac:dyDescent="0.25">
      <c r="A20" s="3">
        <f t="shared" ref="A20:B22" si="1">A3</f>
        <v>2</v>
      </c>
      <c r="B20" s="4">
        <f t="shared" si="1"/>
        <v>1</v>
      </c>
      <c r="C20" s="4">
        <f>E3</f>
        <v>25</v>
      </c>
      <c r="D20" s="4"/>
      <c r="E20" s="12">
        <f>MDETERM(A20:C22)</f>
        <v>-19.999999999999993</v>
      </c>
    </row>
    <row r="21" spans="1:5" x14ac:dyDescent="0.25">
      <c r="A21" s="3">
        <f t="shared" si="1"/>
        <v>1</v>
      </c>
      <c r="B21" s="4">
        <f t="shared" si="1"/>
        <v>-2</v>
      </c>
      <c r="C21" s="4">
        <f>E4</f>
        <v>25</v>
      </c>
      <c r="D21" s="4"/>
      <c r="E21" s="12"/>
    </row>
    <row r="22" spans="1:5" ht="15.75" thickBot="1" x14ac:dyDescent="0.3">
      <c r="A22" s="9">
        <f t="shared" si="1"/>
        <v>3</v>
      </c>
      <c r="B22" s="6">
        <f t="shared" si="1"/>
        <v>1</v>
      </c>
      <c r="C22" s="6">
        <f>E5</f>
        <v>44</v>
      </c>
      <c r="D22" s="6"/>
      <c r="E22" s="13"/>
    </row>
  </sheetData>
  <mergeCells count="1">
    <mergeCell ref="H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0E5B-F97D-4D76-BBDD-A6F4AA7A547A}">
  <dimension ref="A1:V72"/>
  <sheetViews>
    <sheetView workbookViewId="0">
      <selection activeCell="H26" sqref="H26:J28"/>
    </sheetView>
  </sheetViews>
  <sheetFormatPr defaultRowHeight="15" x14ac:dyDescent="0.25"/>
  <cols>
    <col min="6" max="6" width="10.42578125" customWidth="1"/>
  </cols>
  <sheetData>
    <row r="1" spans="1:22" ht="15.75" thickBot="1" x14ac:dyDescent="0.3"/>
    <row r="2" spans="1:22" ht="15.75" thickBot="1" x14ac:dyDescent="0.3">
      <c r="A2" s="73" t="s">
        <v>10</v>
      </c>
      <c r="B2" s="74"/>
      <c r="C2" s="75"/>
      <c r="E2" s="72" t="s">
        <v>38</v>
      </c>
      <c r="F2" s="64"/>
      <c r="G2" s="65"/>
      <c r="H2" t="s">
        <v>43</v>
      </c>
      <c r="M2" s="19"/>
      <c r="N2" s="20"/>
      <c r="O2" s="20"/>
      <c r="P2" s="20"/>
      <c r="Q2" s="20"/>
      <c r="R2" s="20"/>
      <c r="S2" s="20"/>
    </row>
    <row r="3" spans="1:22" ht="15.75" thickBot="1" x14ac:dyDescent="0.3">
      <c r="A3" s="10">
        <v>2</v>
      </c>
      <c r="B3" s="2">
        <v>1</v>
      </c>
      <c r="C3" s="52">
        <v>-1</v>
      </c>
      <c r="E3" s="10">
        <v>25</v>
      </c>
      <c r="F3" s="76"/>
      <c r="G3" s="77"/>
      <c r="H3" s="24"/>
      <c r="M3" s="20"/>
      <c r="N3" s="20"/>
      <c r="O3" s="20"/>
      <c r="P3" s="20"/>
      <c r="Q3" s="20"/>
      <c r="R3" s="20"/>
      <c r="S3" s="20"/>
    </row>
    <row r="4" spans="1:22" ht="15.75" thickBot="1" x14ac:dyDescent="0.3">
      <c r="A4" s="3">
        <v>1</v>
      </c>
      <c r="B4" s="4">
        <v>-2</v>
      </c>
      <c r="C4" s="5">
        <v>3</v>
      </c>
      <c r="E4" s="3">
        <v>25</v>
      </c>
      <c r="F4" s="67"/>
      <c r="G4" s="68"/>
      <c r="H4" s="24"/>
      <c r="M4" s="27"/>
      <c r="N4" s="102" t="s">
        <v>37</v>
      </c>
      <c r="O4" s="103"/>
      <c r="P4" s="103"/>
      <c r="Q4" s="103"/>
      <c r="R4" s="103"/>
      <c r="S4" s="103"/>
      <c r="T4" s="103"/>
      <c r="U4" s="103"/>
      <c r="V4" s="104"/>
    </row>
    <row r="5" spans="1:22" ht="15.75" thickBot="1" x14ac:dyDescent="0.3">
      <c r="A5" s="9">
        <v>3</v>
      </c>
      <c r="B5" s="6">
        <v>1</v>
      </c>
      <c r="C5" s="7">
        <v>1</v>
      </c>
      <c r="E5" s="9">
        <v>44</v>
      </c>
      <c r="F5" s="6"/>
      <c r="G5" s="7"/>
      <c r="N5" s="78" cm="1">
        <f t="array" ref="N5:N7" xml:space="preserve"> MMULT(_xlfn.ANCHORARRAY(H26),E3:E5)</f>
        <v>14.555555555555554</v>
      </c>
      <c r="O5" s="79"/>
      <c r="P5" s="53"/>
      <c r="Q5" s="79"/>
      <c r="R5" s="53"/>
      <c r="S5" s="53"/>
      <c r="T5" s="54"/>
      <c r="U5" s="54"/>
      <c r="V5" s="55"/>
    </row>
    <row r="6" spans="1:22" x14ac:dyDescent="0.25">
      <c r="E6" s="4"/>
      <c r="F6" s="4"/>
      <c r="N6" s="66">
        <v>-1.8888888888888999</v>
      </c>
      <c r="O6" s="56"/>
      <c r="P6" s="56"/>
      <c r="Q6" s="56"/>
      <c r="R6" s="57"/>
      <c r="S6" s="57"/>
      <c r="T6" s="58"/>
      <c r="U6" s="58"/>
      <c r="V6" s="59"/>
    </row>
    <row r="7" spans="1:22" ht="15.75" thickBot="1" x14ac:dyDescent="0.3">
      <c r="E7" s="4"/>
      <c r="F7" s="4"/>
      <c r="N7" s="66">
        <v>2.222222222222225</v>
      </c>
      <c r="O7" s="58"/>
      <c r="P7" s="58"/>
      <c r="Q7" s="58"/>
      <c r="R7" s="58"/>
      <c r="S7" s="58"/>
      <c r="T7" s="58"/>
      <c r="U7" s="58"/>
      <c r="V7" s="59"/>
    </row>
    <row r="8" spans="1:22" x14ac:dyDescent="0.25">
      <c r="A8" s="80" t="s">
        <v>11</v>
      </c>
      <c r="B8" s="2"/>
      <c r="C8" s="2"/>
      <c r="D8" s="2"/>
      <c r="E8" s="2"/>
      <c r="F8" s="2"/>
      <c r="G8" s="2"/>
      <c r="H8" s="2"/>
      <c r="I8" s="2"/>
      <c r="J8" s="2"/>
      <c r="K8" s="52"/>
      <c r="N8" s="60"/>
      <c r="O8" s="58"/>
      <c r="P8" s="58"/>
      <c r="Q8" s="58"/>
      <c r="R8" s="58"/>
      <c r="S8" s="58"/>
      <c r="T8" s="58"/>
      <c r="U8" s="58"/>
      <c r="V8" s="59"/>
    </row>
    <row r="9" spans="1:22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5"/>
      <c r="N9" s="60"/>
      <c r="O9" s="58"/>
      <c r="P9" s="58"/>
      <c r="Q9" s="58"/>
      <c r="R9" s="58"/>
      <c r="S9" s="58"/>
      <c r="T9" s="58"/>
      <c r="U9" s="58"/>
      <c r="V9" s="59"/>
    </row>
    <row r="10" spans="1:22" x14ac:dyDescent="0.25">
      <c r="A10" s="3" t="s">
        <v>12</v>
      </c>
      <c r="B10" s="4"/>
      <c r="C10" s="31">
        <f>MDETERM(A3:C5)</f>
        <v>-9</v>
      </c>
      <c r="D10" s="4"/>
      <c r="E10" s="4"/>
      <c r="F10" s="4"/>
      <c r="G10" s="4"/>
      <c r="H10" s="4"/>
      <c r="I10" s="4"/>
      <c r="J10" s="4"/>
      <c r="K10" s="5"/>
      <c r="N10" s="60"/>
      <c r="O10" s="58"/>
      <c r="P10" s="58"/>
      <c r="Q10" s="58"/>
      <c r="R10" s="58"/>
      <c r="S10" s="58"/>
      <c r="T10" s="58"/>
      <c r="U10" s="58"/>
      <c r="V10" s="59"/>
    </row>
    <row r="11" spans="1:22" ht="15.75" thickBot="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5"/>
      <c r="N11" s="61"/>
      <c r="O11" s="62"/>
      <c r="P11" s="62"/>
      <c r="Q11" s="62"/>
      <c r="R11" s="62"/>
      <c r="S11" s="62"/>
      <c r="T11" s="62"/>
      <c r="U11" s="62"/>
      <c r="V11" s="63"/>
    </row>
    <row r="12" spans="1:22" ht="15.75" thickBot="1" x14ac:dyDescent="0.3">
      <c r="A12" s="93" t="s">
        <v>13</v>
      </c>
      <c r="B12" s="94"/>
      <c r="C12" s="4"/>
      <c r="D12" s="4"/>
      <c r="E12" s="87" t="s">
        <v>14</v>
      </c>
      <c r="F12" s="87"/>
      <c r="G12" s="4"/>
      <c r="H12" s="87" t="s">
        <v>15</v>
      </c>
      <c r="I12" s="87"/>
      <c r="J12" s="87"/>
      <c r="K12" s="5"/>
    </row>
    <row r="13" spans="1:22" ht="15.7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5"/>
    </row>
    <row r="14" spans="1:22" x14ac:dyDescent="0.25">
      <c r="A14" s="80" t="s">
        <v>16</v>
      </c>
      <c r="B14" s="89">
        <f>B4</f>
        <v>-2</v>
      </c>
      <c r="C14" s="90">
        <f>C4</f>
        <v>3</v>
      </c>
      <c r="D14" s="52">
        <f>MDETERM(B14:C15)</f>
        <v>-5</v>
      </c>
      <c r="E14" s="74" t="s">
        <v>17</v>
      </c>
      <c r="F14" s="84">
        <f>-1^(1+1)*D14</f>
        <v>-5</v>
      </c>
      <c r="G14" s="4"/>
      <c r="H14" s="21">
        <f>F14</f>
        <v>-5</v>
      </c>
      <c r="I14" s="22">
        <f>F17</f>
        <v>8</v>
      </c>
      <c r="J14" s="23">
        <f>F20</f>
        <v>7</v>
      </c>
      <c r="K14" s="5"/>
    </row>
    <row r="15" spans="1:22" x14ac:dyDescent="0.25">
      <c r="A15" s="3"/>
      <c r="B15" s="28">
        <f>B5</f>
        <v>1</v>
      </c>
      <c r="C15" s="30">
        <f>C5</f>
        <v>1</v>
      </c>
      <c r="D15" s="5"/>
      <c r="E15" s="4"/>
      <c r="F15" s="5"/>
      <c r="G15" s="4"/>
      <c r="H15" s="25">
        <f>F23</f>
        <v>-2</v>
      </c>
      <c r="I15" s="4">
        <f>F26</f>
        <v>5</v>
      </c>
      <c r="J15" s="26">
        <f>F29</f>
        <v>1</v>
      </c>
      <c r="K15" s="5"/>
      <c r="N15" s="105" t="s">
        <v>42</v>
      </c>
      <c r="O15" s="105"/>
      <c r="P15" s="105"/>
      <c r="Q15" s="105"/>
      <c r="R15" s="105"/>
      <c r="S15" s="105"/>
    </row>
    <row r="16" spans="1:22" x14ac:dyDescent="0.25">
      <c r="A16" s="3"/>
      <c r="B16" s="4"/>
      <c r="C16" s="4"/>
      <c r="D16" s="5"/>
      <c r="E16" s="4"/>
      <c r="F16" s="5"/>
      <c r="G16" s="4"/>
      <c r="H16" s="28">
        <f>F32</f>
        <v>1</v>
      </c>
      <c r="I16" s="29">
        <f>F35</f>
        <v>-7</v>
      </c>
      <c r="J16" s="30">
        <f>F38</f>
        <v>-5</v>
      </c>
      <c r="K16" s="5"/>
      <c r="N16" s="105"/>
      <c r="O16" s="105"/>
      <c r="P16" s="105"/>
      <c r="Q16" s="105"/>
      <c r="R16" s="105"/>
      <c r="S16" s="105"/>
    </row>
    <row r="17" spans="1:19" x14ac:dyDescent="0.25">
      <c r="A17" s="83" t="s">
        <v>18</v>
      </c>
      <c r="B17" s="21">
        <f>A4</f>
        <v>1</v>
      </c>
      <c r="C17" s="23">
        <f>C4</f>
        <v>3</v>
      </c>
      <c r="D17" s="5">
        <f>MDETERM(B17:C18)</f>
        <v>-8</v>
      </c>
      <c r="E17" s="87" t="s">
        <v>19</v>
      </c>
      <c r="F17" s="85">
        <f>-1^(1+2)*D17</f>
        <v>8</v>
      </c>
      <c r="G17" s="4"/>
      <c r="H17" s="4"/>
      <c r="I17" s="4"/>
      <c r="J17" s="4"/>
      <c r="K17" s="5"/>
      <c r="N17" s="105"/>
      <c r="O17" s="105"/>
      <c r="P17" s="105"/>
      <c r="Q17" s="105"/>
      <c r="R17" s="105"/>
      <c r="S17" s="105"/>
    </row>
    <row r="18" spans="1:19" x14ac:dyDescent="0.25">
      <c r="A18" s="3"/>
      <c r="B18" s="28">
        <f>A5</f>
        <v>3</v>
      </c>
      <c r="C18" s="30">
        <f>C5</f>
        <v>1</v>
      </c>
      <c r="D18" s="5"/>
      <c r="E18" s="4"/>
      <c r="F18" s="5"/>
      <c r="G18" s="4"/>
      <c r="H18" s="4" t="s">
        <v>20</v>
      </c>
      <c r="I18" s="4"/>
      <c r="J18" s="4"/>
      <c r="K18" s="5"/>
      <c r="N18" s="105"/>
      <c r="O18" s="105"/>
      <c r="P18" s="105"/>
      <c r="Q18" s="105"/>
      <c r="R18" s="105"/>
      <c r="S18" s="105"/>
    </row>
    <row r="19" spans="1:19" x14ac:dyDescent="0.25">
      <c r="A19" s="3"/>
      <c r="B19" s="4"/>
      <c r="C19" s="4"/>
      <c r="D19" s="5"/>
      <c r="E19" s="4"/>
      <c r="F19" s="5"/>
      <c r="G19" s="4"/>
      <c r="H19" s="4"/>
      <c r="I19" s="4"/>
      <c r="J19" s="4"/>
      <c r="K19" s="5"/>
      <c r="N19" s="105"/>
      <c r="O19" s="105"/>
      <c r="P19" s="105"/>
      <c r="Q19" s="105"/>
      <c r="R19" s="105"/>
      <c r="S19" s="105"/>
    </row>
    <row r="20" spans="1:19" x14ac:dyDescent="0.25">
      <c r="A20" s="83" t="s">
        <v>21</v>
      </c>
      <c r="B20" s="21">
        <f>A4</f>
        <v>1</v>
      </c>
      <c r="C20" s="23">
        <f>B4</f>
        <v>-2</v>
      </c>
      <c r="D20" s="5">
        <f>MDETERM(B20:C21)</f>
        <v>7</v>
      </c>
      <c r="E20" s="4" t="s">
        <v>22</v>
      </c>
      <c r="F20" s="85">
        <f>-1^(1+3)*D20</f>
        <v>7</v>
      </c>
      <c r="G20" s="4"/>
      <c r="H20" s="21" cm="1">
        <f t="array" ref="H20:J22">TRANSPOSE(H14:J16)</f>
        <v>-5</v>
      </c>
      <c r="I20" s="22">
        <v>-2</v>
      </c>
      <c r="J20" s="23">
        <v>1</v>
      </c>
      <c r="K20" s="5"/>
      <c r="N20" s="105"/>
      <c r="O20" s="105"/>
      <c r="P20" s="105"/>
      <c r="Q20" s="105"/>
      <c r="R20" s="105"/>
      <c r="S20" s="105"/>
    </row>
    <row r="21" spans="1:19" x14ac:dyDescent="0.25">
      <c r="A21" s="3"/>
      <c r="B21" s="28">
        <f>A5</f>
        <v>3</v>
      </c>
      <c r="C21" s="30">
        <f>B5</f>
        <v>1</v>
      </c>
      <c r="D21" s="5"/>
      <c r="E21" s="4"/>
      <c r="F21" s="5"/>
      <c r="G21" s="4"/>
      <c r="H21" s="25">
        <v>8</v>
      </c>
      <c r="I21" s="4">
        <v>5</v>
      </c>
      <c r="J21" s="26">
        <v>-7</v>
      </c>
      <c r="K21" s="5"/>
      <c r="N21" s="105"/>
      <c r="O21" s="105"/>
      <c r="P21" s="105"/>
      <c r="Q21" s="105"/>
      <c r="R21" s="105"/>
      <c r="S21" s="105"/>
    </row>
    <row r="22" spans="1:19" x14ac:dyDescent="0.25">
      <c r="A22" s="3"/>
      <c r="B22" s="4"/>
      <c r="C22" s="4"/>
      <c r="D22" s="5"/>
      <c r="E22" s="4"/>
      <c r="F22" s="5"/>
      <c r="G22" s="4"/>
      <c r="H22" s="28">
        <v>7</v>
      </c>
      <c r="I22" s="29">
        <v>1</v>
      </c>
      <c r="J22" s="30">
        <v>-5</v>
      </c>
      <c r="K22" s="5"/>
    </row>
    <row r="23" spans="1:19" x14ac:dyDescent="0.25">
      <c r="A23" s="83" t="s">
        <v>23</v>
      </c>
      <c r="B23" s="21">
        <f>B3</f>
        <v>1</v>
      </c>
      <c r="C23" s="23">
        <f>C3</f>
        <v>-1</v>
      </c>
      <c r="D23" s="5">
        <f>MDETERM(B23:C24)</f>
        <v>2</v>
      </c>
      <c r="E23" s="87" t="s">
        <v>24</v>
      </c>
      <c r="F23" s="85">
        <f>-1^(2+1)*D23</f>
        <v>-2</v>
      </c>
      <c r="G23" s="4"/>
      <c r="H23" s="4"/>
      <c r="I23" s="4"/>
      <c r="J23" s="4"/>
      <c r="K23" s="5"/>
    </row>
    <row r="24" spans="1:19" x14ac:dyDescent="0.25">
      <c r="A24" s="3"/>
      <c r="B24" s="28">
        <f>B5</f>
        <v>1</v>
      </c>
      <c r="C24" s="30">
        <f>C5</f>
        <v>1</v>
      </c>
      <c r="D24" s="5"/>
      <c r="E24" s="4"/>
      <c r="F24" s="5"/>
      <c r="G24" s="4"/>
      <c r="H24" s="4" t="s">
        <v>25</v>
      </c>
      <c r="I24" s="4"/>
      <c r="J24" s="4"/>
      <c r="K24" s="5"/>
    </row>
    <row r="25" spans="1:19" x14ac:dyDescent="0.25">
      <c r="A25" s="3"/>
      <c r="B25" s="4"/>
      <c r="C25" s="4"/>
      <c r="D25" s="5"/>
      <c r="E25" s="4"/>
      <c r="F25" s="5"/>
      <c r="G25" s="4"/>
      <c r="H25" s="4"/>
      <c r="I25" s="4"/>
      <c r="J25" s="4"/>
      <c r="K25" s="5"/>
    </row>
    <row r="26" spans="1:19" x14ac:dyDescent="0.25">
      <c r="A26" s="83" t="s">
        <v>26</v>
      </c>
      <c r="B26" s="21">
        <f>A3</f>
        <v>2</v>
      </c>
      <c r="C26" s="23">
        <f>C3</f>
        <v>-1</v>
      </c>
      <c r="D26" s="5">
        <f>MDETERM(B26:C27)</f>
        <v>5</v>
      </c>
      <c r="E26" s="87" t="s">
        <v>27</v>
      </c>
      <c r="F26" s="85">
        <f>-1^(2+2)*D26</f>
        <v>5</v>
      </c>
      <c r="G26" s="4"/>
      <c r="H26" s="32" cm="1">
        <f t="array" ref="H26:J28">(1/C10)*_xlfn.ANCHORARRAY(H20)</f>
        <v>0.55555555555555558</v>
      </c>
      <c r="I26" s="33">
        <v>0.22222222222222221</v>
      </c>
      <c r="J26" s="34">
        <v>-0.1111111111111111</v>
      </c>
      <c r="K26" s="5"/>
    </row>
    <row r="27" spans="1:19" x14ac:dyDescent="0.25">
      <c r="A27" s="3"/>
      <c r="B27" s="28">
        <f>A5</f>
        <v>3</v>
      </c>
      <c r="C27" s="30">
        <f>C5</f>
        <v>1</v>
      </c>
      <c r="D27" s="5"/>
      <c r="E27" s="4"/>
      <c r="F27" s="5"/>
      <c r="G27" s="4"/>
      <c r="H27" s="35">
        <v>-0.88888888888888884</v>
      </c>
      <c r="I27" s="81">
        <v>-0.55555555555555558</v>
      </c>
      <c r="J27" s="36">
        <v>0.77777777777777768</v>
      </c>
      <c r="K27" s="5"/>
    </row>
    <row r="28" spans="1:19" x14ac:dyDescent="0.25">
      <c r="A28" s="3"/>
      <c r="B28" s="4"/>
      <c r="C28" s="4"/>
      <c r="D28" s="5"/>
      <c r="E28" s="4"/>
      <c r="F28" s="5"/>
      <c r="G28" s="4"/>
      <c r="H28" s="37">
        <v>-0.77777777777777768</v>
      </c>
      <c r="I28" s="38">
        <v>-0.1111111111111111</v>
      </c>
      <c r="J28" s="39">
        <v>0.55555555555555558</v>
      </c>
      <c r="K28" s="5"/>
    </row>
    <row r="29" spans="1:19" x14ac:dyDescent="0.25">
      <c r="A29" s="83" t="s">
        <v>28</v>
      </c>
      <c r="B29" s="21">
        <f>A3</f>
        <v>2</v>
      </c>
      <c r="C29" s="23">
        <f>B3</f>
        <v>1</v>
      </c>
      <c r="D29" s="5">
        <f>MDETERM(B29:C30)</f>
        <v>-1</v>
      </c>
      <c r="E29" s="87" t="s">
        <v>29</v>
      </c>
      <c r="F29" s="85">
        <f>-1^(2+3)*D29</f>
        <v>1</v>
      </c>
      <c r="G29" s="4"/>
      <c r="H29" s="4"/>
      <c r="I29" s="4"/>
      <c r="J29" s="4"/>
      <c r="K29" s="5"/>
    </row>
    <row r="30" spans="1:19" x14ac:dyDescent="0.25">
      <c r="A30" s="3"/>
      <c r="B30" s="28">
        <f>A5</f>
        <v>3</v>
      </c>
      <c r="C30" s="30">
        <f>B5</f>
        <v>1</v>
      </c>
      <c r="D30" s="5"/>
      <c r="E30" s="4"/>
      <c r="F30" s="5"/>
      <c r="G30" s="4"/>
      <c r="H30" s="4"/>
      <c r="I30" s="4"/>
      <c r="J30" s="4"/>
      <c r="K30" s="5"/>
    </row>
    <row r="31" spans="1:19" x14ac:dyDescent="0.25">
      <c r="A31" s="3"/>
      <c r="B31" s="4"/>
      <c r="C31" s="4"/>
      <c r="D31" s="5"/>
      <c r="E31" s="4"/>
      <c r="F31" s="5"/>
      <c r="G31" s="4"/>
      <c r="H31" s="4" t="s">
        <v>30</v>
      </c>
      <c r="I31" s="4"/>
      <c r="J31" s="4"/>
      <c r="K31" s="5"/>
    </row>
    <row r="32" spans="1:19" x14ac:dyDescent="0.25">
      <c r="A32" s="83" t="s">
        <v>31</v>
      </c>
      <c r="B32" s="21">
        <f>B3</f>
        <v>1</v>
      </c>
      <c r="C32" s="23">
        <f>C3</f>
        <v>-1</v>
      </c>
      <c r="D32" s="5">
        <f>MDETERM(B32:C33)</f>
        <v>1</v>
      </c>
      <c r="E32" s="87" t="s">
        <v>32</v>
      </c>
      <c r="F32" s="85">
        <f>-1^(3+1)*D32</f>
        <v>1</v>
      </c>
      <c r="G32" s="4"/>
      <c r="H32" s="4"/>
      <c r="I32" s="4"/>
      <c r="J32" s="4"/>
      <c r="K32" s="5"/>
    </row>
    <row r="33" spans="1:11" x14ac:dyDescent="0.25">
      <c r="A33" s="3"/>
      <c r="B33" s="28">
        <f>B4</f>
        <v>-2</v>
      </c>
      <c r="C33" s="30">
        <f>C4</f>
        <v>3</v>
      </c>
      <c r="D33" s="5"/>
      <c r="E33" s="4"/>
      <c r="F33" s="5"/>
      <c r="G33" s="4"/>
      <c r="H33" s="40" cm="1">
        <f t="array" ref="H33:J35">MMULT(_xlfn.ANCHORARRAY(H26),A3:C5)</f>
        <v>1.0000000000000002</v>
      </c>
      <c r="I33" s="41">
        <v>5.5511151231257827E-17</v>
      </c>
      <c r="J33" s="42">
        <v>-5.5511151231257827E-17</v>
      </c>
      <c r="K33" s="5"/>
    </row>
    <row r="34" spans="1:11" x14ac:dyDescent="0.25">
      <c r="A34" s="3"/>
      <c r="B34" s="4"/>
      <c r="C34" s="4"/>
      <c r="D34" s="5"/>
      <c r="E34" s="4"/>
      <c r="F34" s="5"/>
      <c r="G34" s="4"/>
      <c r="H34" s="43">
        <v>0</v>
      </c>
      <c r="I34" s="67">
        <v>1</v>
      </c>
      <c r="J34" s="44">
        <v>-2.2204460492503131E-16</v>
      </c>
      <c r="K34" s="5"/>
    </row>
    <row r="35" spans="1:11" x14ac:dyDescent="0.25">
      <c r="A35" s="83" t="s">
        <v>33</v>
      </c>
      <c r="B35" s="21">
        <f>A3</f>
        <v>2</v>
      </c>
      <c r="C35" s="23">
        <f>C3</f>
        <v>-1</v>
      </c>
      <c r="D35" s="5">
        <f>MDETERM(B35:C36)</f>
        <v>7</v>
      </c>
      <c r="E35" s="87" t="s">
        <v>34</v>
      </c>
      <c r="F35" s="85">
        <f>-1^(3+2)*D35</f>
        <v>-7</v>
      </c>
      <c r="G35" s="4"/>
      <c r="H35" s="45">
        <v>2.2204460492503131E-16</v>
      </c>
      <c r="I35" s="46">
        <v>1.1102230246251565E-16</v>
      </c>
      <c r="J35" s="47">
        <v>1</v>
      </c>
      <c r="K35" s="5"/>
    </row>
    <row r="36" spans="1:11" x14ac:dyDescent="0.25">
      <c r="A36" s="3"/>
      <c r="B36" s="28">
        <f>A4</f>
        <v>1</v>
      </c>
      <c r="C36" s="30">
        <f>C4</f>
        <v>3</v>
      </c>
      <c r="D36" s="5"/>
      <c r="E36" s="4"/>
      <c r="F36" s="5"/>
      <c r="G36" s="4"/>
      <c r="H36" s="4"/>
      <c r="I36" s="4"/>
      <c r="J36" s="4"/>
      <c r="K36" s="5"/>
    </row>
    <row r="37" spans="1:11" x14ac:dyDescent="0.25">
      <c r="A37" s="3"/>
      <c r="B37" s="4"/>
      <c r="C37" s="4"/>
      <c r="D37" s="5"/>
      <c r="E37" s="4"/>
      <c r="F37" s="5"/>
      <c r="G37" s="4"/>
      <c r="H37" s="4"/>
      <c r="I37" s="4"/>
      <c r="J37" s="4"/>
      <c r="K37" s="5"/>
    </row>
    <row r="38" spans="1:11" ht="15.75" thickBot="1" x14ac:dyDescent="0.3">
      <c r="A38" s="83" t="s">
        <v>35</v>
      </c>
      <c r="B38" s="21">
        <f>A3</f>
        <v>2</v>
      </c>
      <c r="C38" s="23">
        <f>B3</f>
        <v>1</v>
      </c>
      <c r="D38" s="5">
        <f>MDETERM(B38:C39)</f>
        <v>-5</v>
      </c>
      <c r="E38" s="88" t="s">
        <v>36</v>
      </c>
      <c r="F38" s="86">
        <f>-1^(3+3)*D38</f>
        <v>-5</v>
      </c>
      <c r="G38" s="4"/>
      <c r="H38" s="4"/>
      <c r="I38" s="4"/>
      <c r="J38" s="4"/>
      <c r="K38" s="5"/>
    </row>
    <row r="39" spans="1:11" ht="15.75" thickBot="1" x14ac:dyDescent="0.3">
      <c r="A39" s="9"/>
      <c r="B39" s="91">
        <f>A4</f>
        <v>1</v>
      </c>
      <c r="C39" s="92">
        <f>B4</f>
        <v>-2</v>
      </c>
      <c r="D39" s="7"/>
      <c r="E39" s="4"/>
      <c r="F39" s="4"/>
      <c r="G39" s="4"/>
      <c r="H39" s="4"/>
      <c r="I39" s="4"/>
      <c r="J39" s="4"/>
      <c r="K39" s="5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5"/>
    </row>
    <row r="41" spans="1:11" ht="15.75" thickBot="1" x14ac:dyDescent="0.3">
      <c r="A41" s="9"/>
      <c r="B41" s="6"/>
      <c r="C41" s="6"/>
      <c r="D41" s="6"/>
      <c r="E41" s="6"/>
      <c r="F41" s="6"/>
      <c r="G41" s="6"/>
      <c r="H41" s="6"/>
      <c r="I41" s="6"/>
      <c r="J41" s="6"/>
      <c r="K41" s="7"/>
    </row>
    <row r="42" spans="1:11" x14ac:dyDescent="0.25">
      <c r="A42" s="10"/>
      <c r="B42" s="82" t="s">
        <v>39</v>
      </c>
      <c r="C42" s="74"/>
      <c r="D42" s="2"/>
      <c r="E42" s="106" t="s">
        <v>41</v>
      </c>
      <c r="F42" s="106"/>
      <c r="G42" s="106"/>
      <c r="H42" s="106"/>
      <c r="I42" s="106"/>
      <c r="J42" s="106"/>
      <c r="K42" s="107"/>
    </row>
    <row r="43" spans="1:11" x14ac:dyDescent="0.25">
      <c r="A43" s="3"/>
      <c r="B43" s="21">
        <v>3</v>
      </c>
      <c r="C43" s="23">
        <v>31</v>
      </c>
      <c r="D43" s="4"/>
      <c r="E43" s="108"/>
      <c r="F43" s="108"/>
      <c r="G43" s="108"/>
      <c r="H43" s="108"/>
      <c r="I43" s="108"/>
      <c r="J43" s="108"/>
      <c r="K43" s="109"/>
    </row>
    <row r="44" spans="1:11" x14ac:dyDescent="0.25">
      <c r="A44" s="3"/>
      <c r="B44" s="28">
        <v>5</v>
      </c>
      <c r="C44" s="30">
        <v>2</v>
      </c>
      <c r="D44" s="4"/>
      <c r="E44" s="4"/>
      <c r="F44" s="4"/>
      <c r="G44" s="4"/>
      <c r="H44" s="4"/>
      <c r="I44" s="4"/>
      <c r="J44" s="4"/>
      <c r="K44" s="5"/>
    </row>
    <row r="45" spans="1:11" x14ac:dyDescent="0.25">
      <c r="A45" s="83" t="s">
        <v>40</v>
      </c>
      <c r="B45" s="4"/>
      <c r="C45" s="4"/>
      <c r="D45" s="4"/>
      <c r="E45" s="4"/>
      <c r="F45" s="4"/>
      <c r="G45" s="4"/>
      <c r="H45" s="4"/>
      <c r="I45" s="4"/>
      <c r="J45" s="4"/>
      <c r="K45" s="5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5"/>
    </row>
    <row r="47" spans="1:11" x14ac:dyDescent="0.25">
      <c r="A47" s="3" t="s">
        <v>12</v>
      </c>
      <c r="B47" s="4"/>
      <c r="C47" s="31">
        <f>MDETERM(B43:C44)</f>
        <v>-149</v>
      </c>
      <c r="D47" s="4"/>
      <c r="E47" s="4"/>
      <c r="F47" s="4"/>
      <c r="G47" s="4"/>
      <c r="H47" s="4"/>
      <c r="I47" s="4"/>
      <c r="J47" s="4"/>
      <c r="K47" s="5"/>
    </row>
    <row r="48" spans="1:1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5"/>
    </row>
    <row r="49" spans="1:11" x14ac:dyDescent="0.25">
      <c r="A49" s="3" t="s">
        <v>13</v>
      </c>
      <c r="B49" s="4"/>
      <c r="C49" s="4"/>
      <c r="D49" s="4"/>
      <c r="E49" s="4" t="s">
        <v>14</v>
      </c>
      <c r="F49" s="4"/>
      <c r="G49" s="4"/>
      <c r="H49" s="4" t="s">
        <v>15</v>
      </c>
      <c r="I49" s="4"/>
      <c r="J49" s="4"/>
      <c r="K49" s="5"/>
    </row>
    <row r="50" spans="1:1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5"/>
    </row>
    <row r="51" spans="1:11" x14ac:dyDescent="0.25">
      <c r="A51" s="3" t="s">
        <v>16</v>
      </c>
      <c r="B51" s="31">
        <f>C44</f>
        <v>2</v>
      </c>
      <c r="C51" s="4">
        <f>MDETERM(B51)</f>
        <v>2</v>
      </c>
      <c r="D51" s="4"/>
      <c r="E51" s="4" t="s">
        <v>17</v>
      </c>
      <c r="F51" s="31">
        <f>-1^(1+1)*B51</f>
        <v>2</v>
      </c>
      <c r="G51" s="4"/>
      <c r="H51" s="21">
        <f>F51</f>
        <v>2</v>
      </c>
      <c r="I51" s="23">
        <f>F54</f>
        <v>-5</v>
      </c>
      <c r="J51" s="4"/>
      <c r="K51" s="5"/>
    </row>
    <row r="52" spans="1:11" x14ac:dyDescent="0.25">
      <c r="A52" s="3"/>
      <c r="B52" s="4"/>
      <c r="C52" s="4"/>
      <c r="D52" s="4"/>
      <c r="E52" s="4"/>
      <c r="F52" s="4"/>
      <c r="G52" s="4"/>
      <c r="H52" s="28">
        <f>F57</f>
        <v>-31</v>
      </c>
      <c r="I52" s="30">
        <f>F60</f>
        <v>3</v>
      </c>
      <c r="J52" s="4"/>
      <c r="K52" s="5"/>
    </row>
    <row r="53" spans="1:11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5"/>
    </row>
    <row r="54" spans="1:11" x14ac:dyDescent="0.25">
      <c r="A54" s="3" t="s">
        <v>18</v>
      </c>
      <c r="B54" s="31">
        <f>B44</f>
        <v>5</v>
      </c>
      <c r="C54" s="4">
        <f>MDETERM(B54)</f>
        <v>5</v>
      </c>
      <c r="D54" s="4"/>
      <c r="E54" s="4" t="s">
        <v>19</v>
      </c>
      <c r="F54" s="31">
        <f>-1^(1+2)*B54</f>
        <v>-5</v>
      </c>
      <c r="G54" s="4"/>
      <c r="H54" s="4"/>
      <c r="I54" s="4"/>
      <c r="J54" s="4"/>
      <c r="K54" s="5"/>
    </row>
    <row r="55" spans="1:11" x14ac:dyDescent="0.25">
      <c r="A55" s="3"/>
      <c r="B55" s="4"/>
      <c r="C55" s="4"/>
      <c r="D55" s="4"/>
      <c r="E55" s="4"/>
      <c r="F55" s="4"/>
      <c r="G55" s="4"/>
      <c r="H55" s="4" t="s">
        <v>20</v>
      </c>
      <c r="I55" s="4"/>
      <c r="J55" s="4"/>
      <c r="K55" s="5"/>
    </row>
    <row r="56" spans="1:11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5"/>
    </row>
    <row r="57" spans="1:11" x14ac:dyDescent="0.25">
      <c r="A57" s="3" t="s">
        <v>23</v>
      </c>
      <c r="B57" s="31">
        <f>C43</f>
        <v>31</v>
      </c>
      <c r="C57" s="4">
        <f>MDETERM(B57)</f>
        <v>31</v>
      </c>
      <c r="D57" s="4"/>
      <c r="E57" s="4" t="s">
        <v>24</v>
      </c>
      <c r="F57" s="31">
        <f>-1^(2+1)*B57</f>
        <v>-31</v>
      </c>
      <c r="G57" s="4"/>
      <c r="H57" s="21" cm="1">
        <f t="array" ref="H57:I58">TRANSPOSE(H51:I52)</f>
        <v>2</v>
      </c>
      <c r="I57" s="23">
        <v>-31</v>
      </c>
      <c r="J57" s="4"/>
      <c r="K57" s="5"/>
    </row>
    <row r="58" spans="1:11" x14ac:dyDescent="0.25">
      <c r="A58" s="3"/>
      <c r="B58" s="4"/>
      <c r="C58" s="4"/>
      <c r="D58" s="4"/>
      <c r="E58" s="4"/>
      <c r="F58" s="4"/>
      <c r="G58" s="4"/>
      <c r="H58" s="28">
        <v>-5</v>
      </c>
      <c r="I58" s="30">
        <v>3</v>
      </c>
      <c r="J58" s="4"/>
      <c r="K58" s="5"/>
    </row>
    <row r="59" spans="1:11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5"/>
    </row>
    <row r="60" spans="1:11" x14ac:dyDescent="0.25">
      <c r="A60" s="3" t="s">
        <v>26</v>
      </c>
      <c r="B60" s="31">
        <f>B43</f>
        <v>3</v>
      </c>
      <c r="C60" s="4">
        <f>MDETERM(B60)</f>
        <v>3</v>
      </c>
      <c r="D60" s="4"/>
      <c r="E60" s="4" t="s">
        <v>27</v>
      </c>
      <c r="F60" s="31">
        <f>-1^(2+2)*B60</f>
        <v>3</v>
      </c>
      <c r="G60" s="4"/>
      <c r="H60" s="4"/>
      <c r="I60" s="4"/>
      <c r="J60" s="4"/>
      <c r="K60" s="5"/>
    </row>
    <row r="61" spans="1:11" x14ac:dyDescent="0.25">
      <c r="A61" s="3"/>
      <c r="B61" s="4"/>
      <c r="C61" s="4"/>
      <c r="D61" s="4"/>
      <c r="E61" s="4"/>
      <c r="F61" s="4"/>
      <c r="G61" s="4"/>
      <c r="H61" s="4" t="s">
        <v>25</v>
      </c>
      <c r="I61" s="4"/>
      <c r="J61" s="4"/>
      <c r="K61" s="5"/>
    </row>
    <row r="62" spans="1:11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5"/>
    </row>
    <row r="63" spans="1:11" x14ac:dyDescent="0.25">
      <c r="A63" s="3"/>
      <c r="B63" s="4"/>
      <c r="C63" s="4"/>
      <c r="D63" s="4"/>
      <c r="E63" s="4"/>
      <c r="F63" s="4"/>
      <c r="G63" s="4"/>
      <c r="H63" s="48" cm="1">
        <f t="array" ref="H63:I64">(1/C47)*_xlfn.ANCHORARRAY(H57)</f>
        <v>-1.3422818791946308E-2</v>
      </c>
      <c r="I63" s="49">
        <v>0.20805369127516779</v>
      </c>
      <c r="J63" s="4"/>
      <c r="K63" s="5"/>
    </row>
    <row r="64" spans="1:11" x14ac:dyDescent="0.25">
      <c r="A64" s="3"/>
      <c r="B64" s="4"/>
      <c r="C64" s="4"/>
      <c r="D64" s="4"/>
      <c r="E64" s="4"/>
      <c r="F64" s="4"/>
      <c r="G64" s="4"/>
      <c r="H64" s="50">
        <v>3.3557046979865772E-2</v>
      </c>
      <c r="I64" s="51">
        <v>-2.0134228187919462E-2</v>
      </c>
      <c r="J64" s="4"/>
      <c r="K64" s="5"/>
    </row>
    <row r="65" spans="1:11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5"/>
    </row>
    <row r="66" spans="1:11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5"/>
    </row>
    <row r="67" spans="1:11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5"/>
    </row>
    <row r="68" spans="1:11" x14ac:dyDescent="0.25">
      <c r="A68" s="3"/>
      <c r="B68" s="4"/>
      <c r="C68" s="4"/>
      <c r="D68" s="4"/>
      <c r="E68" s="4"/>
      <c r="F68" s="4"/>
      <c r="G68" s="4"/>
      <c r="H68" s="4" t="s">
        <v>30</v>
      </c>
      <c r="I68" s="4"/>
      <c r="J68" s="4"/>
      <c r="K68" s="5"/>
    </row>
    <row r="69" spans="1:11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5"/>
    </row>
    <row r="70" spans="1:11" x14ac:dyDescent="0.25">
      <c r="A70" s="3"/>
      <c r="B70" s="4"/>
      <c r="C70" s="4"/>
      <c r="D70" s="4"/>
      <c r="E70" s="4"/>
      <c r="F70" s="4"/>
      <c r="G70" s="4"/>
      <c r="H70" s="40" cm="1">
        <f t="array" ref="H70:I71">MMULT(_xlfn.ANCHORARRAY(H63),B43:C44)</f>
        <v>1</v>
      </c>
      <c r="I70" s="42">
        <v>0</v>
      </c>
      <c r="J70" s="4"/>
      <c r="K70" s="5"/>
    </row>
    <row r="71" spans="1:11" x14ac:dyDescent="0.25">
      <c r="A71" s="3"/>
      <c r="B71" s="4"/>
      <c r="C71" s="4"/>
      <c r="D71" s="4"/>
      <c r="E71" s="4"/>
      <c r="F71" s="4"/>
      <c r="G71" s="4"/>
      <c r="H71" s="45">
        <v>0</v>
      </c>
      <c r="I71" s="47">
        <v>1</v>
      </c>
      <c r="J71" s="4"/>
      <c r="K71" s="5"/>
    </row>
    <row r="72" spans="1:11" ht="15.75" thickBot="1" x14ac:dyDescent="0.3">
      <c r="A72" s="9"/>
      <c r="B72" s="6"/>
      <c r="C72" s="6"/>
      <c r="D72" s="6"/>
      <c r="E72" s="6"/>
      <c r="F72" s="6"/>
      <c r="G72" s="6"/>
      <c r="H72" s="6"/>
      <c r="I72" s="6"/>
      <c r="J72" s="6"/>
      <c r="K72" s="7"/>
    </row>
  </sheetData>
  <mergeCells count="3">
    <mergeCell ref="N4:V4"/>
    <mergeCell ref="N15:S21"/>
    <mergeCell ref="E42:K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5F56-1068-416C-9A26-41E7CB17F18C}">
  <dimension ref="A1:K12"/>
  <sheetViews>
    <sheetView tabSelected="1" workbookViewId="0">
      <selection activeCell="L24" sqref="L24"/>
    </sheetView>
  </sheetViews>
  <sheetFormatPr defaultRowHeight="15" x14ac:dyDescent="0.25"/>
  <sheetData>
    <row r="1" spans="1:11" ht="15.75" thickBot="1" x14ac:dyDescent="0.3"/>
    <row r="2" spans="1:11" x14ac:dyDescent="0.25">
      <c r="A2" s="69" t="s">
        <v>44</v>
      </c>
      <c r="B2" s="70"/>
      <c r="C2" s="70"/>
      <c r="D2" s="71"/>
    </row>
    <row r="3" spans="1:11" x14ac:dyDescent="0.25">
      <c r="A3" s="3">
        <v>1</v>
      </c>
      <c r="B3" s="4">
        <v>3</v>
      </c>
      <c r="C3" s="4">
        <v>2</v>
      </c>
      <c r="D3" s="5">
        <v>-5</v>
      </c>
    </row>
    <row r="4" spans="1:11" x14ac:dyDescent="0.25">
      <c r="A4" s="3">
        <v>2</v>
      </c>
      <c r="B4" s="4">
        <v>-2</v>
      </c>
      <c r="C4" s="4">
        <v>3</v>
      </c>
      <c r="D4" s="5">
        <v>-8</v>
      </c>
    </row>
    <row r="5" spans="1:11" ht="15.75" thickBot="1" x14ac:dyDescent="0.3">
      <c r="A5" s="9">
        <v>3</v>
      </c>
      <c r="B5" s="6">
        <v>4</v>
      </c>
      <c r="C5" s="6">
        <v>-4</v>
      </c>
      <c r="D5" s="7">
        <v>5</v>
      </c>
    </row>
    <row r="8" spans="1:11" x14ac:dyDescent="0.25">
      <c r="A8" t="s">
        <v>45</v>
      </c>
    </row>
    <row r="9" spans="1:11" ht="15.75" thickBot="1" x14ac:dyDescent="0.3"/>
    <row r="10" spans="1:11" x14ac:dyDescent="0.25">
      <c r="A10" s="10"/>
      <c r="B10" s="2">
        <f>A3</f>
        <v>1</v>
      </c>
      <c r="C10" s="2">
        <f>B3</f>
        <v>3</v>
      </c>
      <c r="D10" s="2">
        <f>C3</f>
        <v>2</v>
      </c>
      <c r="E10" s="52">
        <f>D3</f>
        <v>-5</v>
      </c>
      <c r="G10" s="10"/>
      <c r="H10" s="2">
        <f t="shared" ref="H10:K11" si="0">B10</f>
        <v>1</v>
      </c>
      <c r="I10" s="2">
        <f t="shared" si="0"/>
        <v>3</v>
      </c>
      <c r="J10" s="2">
        <f t="shared" si="0"/>
        <v>2</v>
      </c>
      <c r="K10" s="52">
        <f t="shared" si="0"/>
        <v>-5</v>
      </c>
    </row>
    <row r="11" spans="1:11" x14ac:dyDescent="0.25">
      <c r="A11" s="95">
        <v>1</v>
      </c>
      <c r="B11" s="4" cm="1">
        <f t="array" ref="B11:E11">A4:D4*A3-(A3:D3*A4)</f>
        <v>0</v>
      </c>
      <c r="C11" s="4">
        <v>-8</v>
      </c>
      <c r="D11" s="4">
        <v>-1</v>
      </c>
      <c r="E11" s="5">
        <v>2</v>
      </c>
      <c r="G11" s="95">
        <v>2</v>
      </c>
      <c r="H11" s="4">
        <f t="shared" si="0"/>
        <v>0</v>
      </c>
      <c r="I11" s="4">
        <f t="shared" si="0"/>
        <v>-8</v>
      </c>
      <c r="J11" s="4">
        <f t="shared" si="0"/>
        <v>-1</v>
      </c>
      <c r="K11" s="5">
        <f t="shared" si="0"/>
        <v>2</v>
      </c>
    </row>
    <row r="12" spans="1:11" ht="15.75" thickBot="1" x14ac:dyDescent="0.3">
      <c r="A12" s="9"/>
      <c r="B12" s="6" cm="1">
        <f t="array" ref="B12:E12">A5:D5*A3-(A3:D3*A5)</f>
        <v>0</v>
      </c>
      <c r="C12" s="6">
        <v>-5</v>
      </c>
      <c r="D12" s="6">
        <v>-10</v>
      </c>
      <c r="E12" s="7">
        <v>20</v>
      </c>
      <c r="G12" s="9"/>
      <c r="H12" s="6" cm="1">
        <f t="array" ref="H12:K12">B11:E11*C12-B12:E12*C11</f>
        <v>0</v>
      </c>
      <c r="I12" s="6">
        <v>0</v>
      </c>
      <c r="J12" s="6">
        <v>-75</v>
      </c>
      <c r="K12" s="7">
        <v>150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Крамер</vt:lpstr>
      <vt:lpstr>Матричный метод</vt:lpstr>
      <vt:lpstr>Гаусс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2026-04-14T07:44:24Z</dcterms:created>
  <dcterms:modified xsi:type="dcterms:W3CDTF">2026-04-28T07:15:04Z</dcterms:modified>
</cp:coreProperties>
</file>