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P-8-24-Study\2й курс\Вышмат\"/>
    </mc:Choice>
  </mc:AlternateContent>
  <xr:revisionPtr revIDLastSave="0" documentId="13_ncr:1_{105940E9-5BE4-448E-A697-DF8ED2A5B55D}" xr6:coauthVersionLast="47" xr6:coauthVersionMax="47" xr10:uidLastSave="{00000000-0000-0000-0000-000000000000}"/>
  <bookViews>
    <workbookView xWindow="-105" yWindow="0" windowWidth="14610" windowHeight="15585" activeTab="1" xr2:uid="{BD0E488A-F0E8-4303-BECF-95D532D9B729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2" l="1"/>
  <c r="K11" i="2"/>
  <c r="M6" i="2"/>
  <c r="J7" i="2"/>
  <c r="I6" i="2"/>
  <c r="M2" i="2"/>
  <c r="J2" i="2"/>
  <c r="E10" i="2"/>
  <c r="C11" i="2"/>
  <c r="B11" i="2"/>
  <c r="C10" i="2"/>
  <c r="B10" i="2"/>
  <c r="E6" i="2"/>
  <c r="B7" i="2"/>
  <c r="C6" i="2"/>
  <c r="B6" i="2"/>
  <c r="E3" i="2"/>
  <c r="B3" i="2"/>
  <c r="C2" i="2"/>
  <c r="L21" i="1"/>
  <c r="L15" i="1"/>
  <c r="D12" i="1"/>
  <c r="D9" i="1"/>
  <c r="D6" i="1"/>
  <c r="A9" i="1"/>
  <c r="B7" i="1"/>
  <c r="A6" i="1"/>
</calcChain>
</file>

<file path=xl/sharedStrings.xml><?xml version="1.0" encoding="utf-8"?>
<sst xmlns="http://schemas.openxmlformats.org/spreadsheetml/2006/main" count="2" uniqueCount="2">
  <si>
    <t>короче, сколько строк в квадратной матрице, такой и определитель по порядку</t>
  </si>
  <si>
    <t>записываем формат ячеек, дробный, до трех ячеек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</si>
</sst>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12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12" fontId="1" fillId="2" borderId="1" xfId="0" applyNumberFormat="1" applyFont="1" applyFill="1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A029-0209-48B3-B1FB-071337E7DF1B}">
  <dimension ref="A1:L22"/>
  <sheetViews>
    <sheetView workbookViewId="0">
      <selection activeCell="F28" sqref="F28"/>
    </sheetView>
  </sheetViews>
  <sheetFormatPr defaultRowHeight="15" x14ac:dyDescent="0.25"/>
  <cols>
    <col min="1" max="11" width="9.140625" style="2"/>
    <col min="12" max="12" width="12" style="2" bestFit="1" customWidth="1"/>
    <col min="13" max="16384" width="9.140625" style="2"/>
  </cols>
  <sheetData>
    <row r="1" spans="1:12" x14ac:dyDescent="0.25">
      <c r="A1" s="1"/>
      <c r="B1" s="1"/>
      <c r="C1" s="1"/>
      <c r="F1" s="2" t="s">
        <v>0</v>
      </c>
    </row>
    <row r="2" spans="1:12" x14ac:dyDescent="0.25">
      <c r="A2" s="1"/>
      <c r="B2" s="1"/>
      <c r="C2" s="1"/>
    </row>
    <row r="3" spans="1:12" x14ac:dyDescent="0.25">
      <c r="A3" s="1"/>
      <c r="B3" s="1"/>
      <c r="C3" s="1"/>
    </row>
    <row r="4" spans="1:12" x14ac:dyDescent="0.25">
      <c r="A4" s="1"/>
      <c r="B4" s="1"/>
      <c r="C4" s="1"/>
    </row>
    <row r="6" spans="1:12" x14ac:dyDescent="0.25">
      <c r="A6" s="7">
        <f>-SQRT(3)</f>
        <v>-1.7320508075688772</v>
      </c>
      <c r="B6" s="1">
        <v>5</v>
      </c>
      <c r="D6" s="6">
        <f>MDETERM(A6:B7)</f>
        <v>5.4174243050441602</v>
      </c>
    </row>
    <row r="7" spans="1:12" x14ac:dyDescent="0.25">
      <c r="A7" s="1">
        <v>-2</v>
      </c>
      <c r="B7" s="1">
        <f>SQRT(7)</f>
        <v>2.6457513110645907</v>
      </c>
    </row>
    <row r="9" spans="1:12" x14ac:dyDescent="0.25">
      <c r="A9" s="1">
        <f>5/7</f>
        <v>0.7142857142857143</v>
      </c>
      <c r="B9" s="1">
        <v>-1</v>
      </c>
      <c r="D9" s="4">
        <f>MDETERM(A9:B10)</f>
        <v>7.2857142857142865</v>
      </c>
      <c r="F9" s="2" t="s">
        <v>1</v>
      </c>
    </row>
    <row r="10" spans="1:12" x14ac:dyDescent="0.25">
      <c r="A10" s="1">
        <v>3</v>
      </c>
      <c r="B10" s="1">
        <v>6</v>
      </c>
    </row>
    <row r="11" spans="1:12" x14ac:dyDescent="0.25">
      <c r="A11" s="3"/>
      <c r="B11" s="3"/>
    </row>
    <row r="12" spans="1:12" x14ac:dyDescent="0.25">
      <c r="A12" s="1">
        <v>-1</v>
      </c>
      <c r="B12" s="1">
        <v>-2</v>
      </c>
      <c r="D12" s="2">
        <f>MDETERM(A12:B13)</f>
        <v>3.9999999999999991</v>
      </c>
    </row>
    <row r="13" spans="1:12" x14ac:dyDescent="0.25">
      <c r="A13" s="1">
        <v>5</v>
      </c>
      <c r="B13" s="1">
        <v>6</v>
      </c>
      <c r="H13" s="1">
        <v>-1</v>
      </c>
      <c r="I13" s="1">
        <v>0</v>
      </c>
      <c r="J13" s="1">
        <v>3</v>
      </c>
    </row>
    <row r="14" spans="1:12" x14ac:dyDescent="0.25">
      <c r="H14" s="1">
        <v>4</v>
      </c>
      <c r="I14" s="1">
        <v>5</v>
      </c>
      <c r="J14" s="1">
        <v>1</v>
      </c>
    </row>
    <row r="15" spans="1:12" x14ac:dyDescent="0.25">
      <c r="H15" s="1">
        <v>2</v>
      </c>
      <c r="I15" s="1">
        <v>-2</v>
      </c>
      <c r="J15" s="1">
        <v>6</v>
      </c>
      <c r="L15" s="2">
        <f>MDETERM(H13:J15)</f>
        <v>-86</v>
      </c>
    </row>
    <row r="20" spans="8:12" x14ac:dyDescent="0.25">
      <c r="H20" s="1">
        <v>1</v>
      </c>
      <c r="I20" s="1">
        <v>2</v>
      </c>
      <c r="J20" s="1">
        <v>3</v>
      </c>
    </row>
    <row r="21" spans="8:12" x14ac:dyDescent="0.25">
      <c r="H21" s="1">
        <v>4</v>
      </c>
      <c r="I21" s="1">
        <v>5</v>
      </c>
      <c r="J21" s="1">
        <v>6</v>
      </c>
      <c r="L21" s="5">
        <f>MDETERM(H20:J22)</f>
        <v>6.6613381477509392E-16</v>
      </c>
    </row>
    <row r="22" spans="8:12" x14ac:dyDescent="0.25">
      <c r="H22" s="1">
        <v>7</v>
      </c>
      <c r="I22" s="1">
        <v>8</v>
      </c>
      <c r="J22" s="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9A4B-2F01-4523-94E2-5E023CD378DC}">
  <dimension ref="B2:M13"/>
  <sheetViews>
    <sheetView tabSelected="1" topLeftCell="E1" workbookViewId="0">
      <selection activeCell="M12" sqref="M12"/>
    </sheetView>
  </sheetViews>
  <sheetFormatPr defaultRowHeight="15" x14ac:dyDescent="0.25"/>
  <sheetData>
    <row r="2" spans="2:13" x14ac:dyDescent="0.25">
      <c r="B2">
        <v>-3</v>
      </c>
      <c r="C2">
        <f>2+(-4)</f>
        <v>-2</v>
      </c>
      <c r="I2">
        <v>-1</v>
      </c>
      <c r="J2">
        <f>3*3</f>
        <v>9</v>
      </c>
      <c r="K2">
        <v>2</v>
      </c>
      <c r="M2">
        <f>MDETERM(I2:K4)</f>
        <v>-104</v>
      </c>
    </row>
    <row r="3" spans="2:13" x14ac:dyDescent="0.25">
      <c r="B3">
        <f>3*-4</f>
        <v>-12</v>
      </c>
      <c r="C3">
        <v>5</v>
      </c>
      <c r="E3">
        <f>MDETERM(B2:C3)</f>
        <v>-39</v>
      </c>
      <c r="I3">
        <v>2</v>
      </c>
      <c r="J3">
        <v>8</v>
      </c>
      <c r="K3">
        <v>-4</v>
      </c>
    </row>
    <row r="4" spans="2:13" x14ac:dyDescent="0.25">
      <c r="I4">
        <v>1</v>
      </c>
      <c r="J4">
        <v>1</v>
      </c>
      <c r="K4">
        <v>2</v>
      </c>
    </row>
    <row r="6" spans="2:13" x14ac:dyDescent="0.25">
      <c r="B6">
        <f>3/3</f>
        <v>1</v>
      </c>
      <c r="C6" s="8">
        <f>5^2</f>
        <v>25</v>
      </c>
      <c r="E6">
        <f>MDETERM(B6:C7)</f>
        <v>306</v>
      </c>
      <c r="I6">
        <f>3*-4</f>
        <v>-12</v>
      </c>
      <c r="J6">
        <v>4</v>
      </c>
      <c r="K6">
        <v>-5</v>
      </c>
      <c r="M6">
        <f>MDETERM(I6:K8)</f>
        <v>2372</v>
      </c>
    </row>
    <row r="7" spans="2:13" x14ac:dyDescent="0.25">
      <c r="B7">
        <f>3*-4</f>
        <v>-12</v>
      </c>
      <c r="C7">
        <v>6</v>
      </c>
      <c r="I7">
        <v>8</v>
      </c>
      <c r="J7">
        <f>(7*-4)-2</f>
        <v>-30</v>
      </c>
      <c r="K7">
        <v>-2</v>
      </c>
    </row>
    <row r="8" spans="2:13" x14ac:dyDescent="0.25">
      <c r="I8">
        <v>2</v>
      </c>
      <c r="J8">
        <v>-1</v>
      </c>
      <c r="K8">
        <v>8</v>
      </c>
    </row>
    <row r="10" spans="2:13" x14ac:dyDescent="0.25">
      <c r="B10">
        <f>POWER(9,0.5)</f>
        <v>3</v>
      </c>
      <c r="C10">
        <f>3*POWER(64,1/6)</f>
        <v>5.9999999999999991</v>
      </c>
      <c r="E10">
        <f>MDETERM(B10:C11)</f>
        <v>-35.999999999999993</v>
      </c>
    </row>
    <row r="11" spans="2:13" x14ac:dyDescent="0.25">
      <c r="B11">
        <f>POWER(0.5,-3)</f>
        <v>8</v>
      </c>
      <c r="C11">
        <f>SQRT(4^2)</f>
        <v>4</v>
      </c>
      <c r="I11">
        <v>1</v>
      </c>
      <c r="J11">
        <v>-2</v>
      </c>
      <c r="K11">
        <f>3*-4</f>
        <v>-12</v>
      </c>
      <c r="M11">
        <f>MDETERM(I11:K13)</f>
        <v>261</v>
      </c>
    </row>
    <row r="12" spans="2:13" x14ac:dyDescent="0.25">
      <c r="I12">
        <v>3</v>
      </c>
      <c r="J12">
        <v>3</v>
      </c>
      <c r="K12">
        <v>-5</v>
      </c>
    </row>
    <row r="13" spans="2:13" x14ac:dyDescent="0.25">
      <c r="I13">
        <v>2</v>
      </c>
      <c r="J13">
        <v>-4</v>
      </c>
      <c r="K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2026-03-17T07:12:28Z</dcterms:created>
  <dcterms:modified xsi:type="dcterms:W3CDTF">2026-03-17T08:28:28Z</dcterms:modified>
</cp:coreProperties>
</file>