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9ad99fbad799b/Documents/"/>
    </mc:Choice>
  </mc:AlternateContent>
  <xr:revisionPtr revIDLastSave="63" documentId="8_{AF0BAD76-7DC5-4E95-BCEA-A21174347C98}" xr6:coauthVersionLast="47" xr6:coauthVersionMax="47" xr10:uidLastSave="{6D4FB70F-7461-4811-B7FA-9DBC54BB664D}"/>
  <bookViews>
    <workbookView xWindow="-120" yWindow="-120" windowWidth="29040" windowHeight="15720" activeTab="3" xr2:uid="{A427CCF6-71A1-4058-8E50-ED8FA876243E}"/>
  </bookViews>
  <sheets>
    <sheet name="задание 1" sheetId="1" r:id="rId1"/>
    <sheet name="задание2" sheetId="2" r:id="rId2"/>
    <sheet name="Задание 3 " sheetId="3" r:id="rId3"/>
    <sheet name="Лист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" i="4" l="1" a="1"/>
  <c r="W4" i="4" s="1"/>
  <c r="R4" i="4" a="1"/>
  <c r="R4" i="4" s="1"/>
  <c r="Q4" i="4" a="1"/>
  <c r="Q4" i="4" s="1"/>
  <c r="K4" i="4" a="1"/>
  <c r="K4" i="4" s="1"/>
  <c r="G2" i="3" a="1"/>
  <c r="G2" i="3" s="1"/>
  <c r="Q11" i="2" a="1"/>
  <c r="Q11" i="2" s="1"/>
  <c r="Q16" i="2" a="1"/>
  <c r="Q16" i="2" s="1"/>
  <c r="J18" i="2" a="1"/>
  <c r="J18" i="2" s="1"/>
  <c r="J12" i="2" a="1"/>
  <c r="J12" i="2" s="1"/>
  <c r="E8" i="2" a="1"/>
  <c r="E8" i="2" s="1"/>
  <c r="E2" i="2" a="1"/>
  <c r="E2" i="2" s="1"/>
  <c r="U2" i="1" a="1"/>
  <c r="U2" i="1" s="1"/>
  <c r="P2" i="1" a="1"/>
  <c r="P2" i="1" s="1"/>
  <c r="K2" i="1" a="1"/>
  <c r="K2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<sst xmlns="http://schemas.openxmlformats.org/spreadsheetml/2006/main" count="45" uniqueCount="35">
  <si>
    <t xml:space="preserve"> </t>
  </si>
  <si>
    <t>a</t>
  </si>
  <si>
    <t>b</t>
  </si>
  <si>
    <t>a+b</t>
  </si>
  <si>
    <t>b-a</t>
  </si>
  <si>
    <t>3а+2Ь</t>
  </si>
  <si>
    <t>в^2 -a</t>
  </si>
  <si>
    <t>1)</t>
  </si>
  <si>
    <t>2)</t>
  </si>
  <si>
    <t>3)</t>
  </si>
  <si>
    <t>4)</t>
  </si>
  <si>
    <t>а</t>
  </si>
  <si>
    <t>в</t>
  </si>
  <si>
    <t>А)</t>
  </si>
  <si>
    <t>В)</t>
  </si>
  <si>
    <t>и</t>
  </si>
  <si>
    <t>а*в</t>
  </si>
  <si>
    <t>в*а</t>
  </si>
  <si>
    <t>Б)</t>
  </si>
  <si>
    <t xml:space="preserve">начальная </t>
  </si>
  <si>
    <t>трансп</t>
  </si>
  <si>
    <t>1 задание</t>
  </si>
  <si>
    <t xml:space="preserve">2 задание </t>
  </si>
  <si>
    <t>цех</t>
  </si>
  <si>
    <t>дерево</t>
  </si>
  <si>
    <t>метал</t>
  </si>
  <si>
    <t>пластик</t>
  </si>
  <si>
    <t>M</t>
  </si>
  <si>
    <t>Q</t>
  </si>
  <si>
    <t xml:space="preserve">стол </t>
  </si>
  <si>
    <t>стул</t>
  </si>
  <si>
    <t>Q новая</t>
  </si>
  <si>
    <t xml:space="preserve">задание 3 </t>
  </si>
  <si>
    <t>задание 4</t>
  </si>
  <si>
    <t>новый 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</si>
</sst>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1"/>
      <color theme="0" tint="-4.9989318521683403E-2"/>
      <name val="Aptos Narrow"/>
      <family val="2"/>
      <charset val="204"/>
      <scheme val="minor"/>
    </font>
    <font>
      <sz val="11"/>
      <color theme="0" tint="-4.9989318521683403E-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/>
    <xf numFmtId="0" fontId="3" fillId="5" borderId="1" xfId="0" applyFont="1" applyFill="1" applyBorder="1"/>
    <xf numFmtId="0" fontId="0" fillId="7" borderId="0" xfId="0" applyFill="1"/>
    <xf numFmtId="0" fontId="4" fillId="7" borderId="0" xfId="0" applyFont="1" applyFill="1"/>
    <xf numFmtId="0" fontId="5" fillId="7" borderId="0" xfId="0" applyFont="1" applyFill="1"/>
    <xf numFmtId="0" fontId="6" fillId="5" borderId="1" xfId="0" applyFont="1" applyFill="1" applyBorder="1"/>
    <xf numFmtId="0" fontId="0" fillId="8" borderId="1" xfId="0" applyFill="1" applyBorder="1"/>
    <xf numFmtId="0" fontId="3" fillId="8" borderId="1" xfId="0" applyFont="1" applyFill="1" applyBorder="1"/>
    <xf numFmtId="0" fontId="7" fillId="7" borderId="0" xfId="0" applyFont="1" applyFill="1"/>
    <xf numFmtId="0" fontId="8" fillId="9" borderId="0" xfId="0" applyFont="1" applyFill="1"/>
    <xf numFmtId="0" fontId="8" fillId="9" borderId="1" xfId="0" applyFont="1" applyFill="1" applyBorder="1"/>
    <xf numFmtId="0" fontId="0" fillId="5" borderId="0" xfId="0" applyFill="1"/>
    <xf numFmtId="0" fontId="8" fillId="5" borderId="1" xfId="0" applyFont="1" applyFill="1" applyBorder="1"/>
    <xf numFmtId="0" fontId="0" fillId="8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AC41-7F6E-4470-B971-AC4450F342B2}">
  <dimension ref="A1:W10"/>
  <sheetViews>
    <sheetView workbookViewId="0">
      <selection activeCell="K11" sqref="K11"/>
    </sheetView>
  </sheetViews>
  <sheetFormatPr defaultRowHeight="15" x14ac:dyDescent="0.25"/>
  <sheetData>
    <row r="1" spans="1:23" x14ac:dyDescent="0.25">
      <c r="A1" s="1" t="s">
        <v>1</v>
      </c>
      <c r="B1" s="1"/>
      <c r="C1" s="1"/>
      <c r="E1" s="2" t="s">
        <v>7</v>
      </c>
      <c r="F1" s="2" t="s">
        <v>3</v>
      </c>
      <c r="G1" s="2"/>
      <c r="H1" s="2"/>
      <c r="J1" s="3" t="s">
        <v>8</v>
      </c>
      <c r="K1" s="3" t="s">
        <v>4</v>
      </c>
      <c r="L1" s="3"/>
      <c r="M1" s="3"/>
      <c r="O1" s="4" t="s">
        <v>9</v>
      </c>
      <c r="P1" s="4" t="s">
        <v>5</v>
      </c>
      <c r="Q1" s="4"/>
      <c r="R1" s="4"/>
      <c r="T1" s="5" t="s">
        <v>10</v>
      </c>
      <c r="U1" s="5" t="s">
        <v>6</v>
      </c>
      <c r="V1" s="5"/>
      <c r="W1" s="5"/>
    </row>
    <row r="2" spans="1:23" x14ac:dyDescent="0.25">
      <c r="A2" s="1">
        <v>7</v>
      </c>
      <c r="B2" s="1">
        <v>-3</v>
      </c>
      <c r="C2" s="1">
        <v>1</v>
      </c>
      <c r="E2" s="2"/>
      <c r="F2" s="2" cm="1">
        <f t="array" ref="F2:H4">A2:C4+A8:C10</f>
        <v>5</v>
      </c>
      <c r="G2" s="2">
        <v>-2</v>
      </c>
      <c r="H2" s="2">
        <v>4</v>
      </c>
      <c r="J2" s="3"/>
      <c r="K2" s="3" cm="1">
        <f t="array" ref="K2:M4">A8:C10-A2:C4</f>
        <v>-9</v>
      </c>
      <c r="L2" s="3">
        <v>4</v>
      </c>
      <c r="M2" s="3">
        <v>2</v>
      </c>
      <c r="O2" s="4"/>
      <c r="P2" s="4" cm="1">
        <f t="array" ref="P2:R4">(3*A2:C4) +(2*A8:C10)</f>
        <v>17</v>
      </c>
      <c r="Q2" s="4">
        <v>-7</v>
      </c>
      <c r="R2" s="4">
        <v>9</v>
      </c>
      <c r="T2" s="5"/>
      <c r="U2" s="5" cm="1">
        <f t="array" ref="U2:W4">MMULT(A8:C10,A8:C10) -A2:C4</f>
        <v>11</v>
      </c>
      <c r="V2" s="5">
        <v>-8</v>
      </c>
      <c r="W2" s="5">
        <v>-4</v>
      </c>
    </row>
    <row r="3" spans="1:23" x14ac:dyDescent="0.25">
      <c r="A3" s="1">
        <v>-5</v>
      </c>
      <c r="B3" s="1">
        <v>3</v>
      </c>
      <c r="C3" s="1">
        <v>1</v>
      </c>
      <c r="E3" s="2"/>
      <c r="F3" s="2">
        <v>3</v>
      </c>
      <c r="G3" s="2">
        <v>6</v>
      </c>
      <c r="H3" s="2">
        <v>1</v>
      </c>
      <c r="J3" s="3"/>
      <c r="K3" s="3">
        <v>13</v>
      </c>
      <c r="L3" s="3">
        <v>0</v>
      </c>
      <c r="M3" s="3">
        <v>-1</v>
      </c>
      <c r="O3" s="4"/>
      <c r="P3" s="4">
        <v>1</v>
      </c>
      <c r="Q3" s="4">
        <v>15</v>
      </c>
      <c r="R3" s="4">
        <v>3</v>
      </c>
      <c r="T3" s="5"/>
      <c r="U3" s="5">
        <v>13</v>
      </c>
      <c r="V3" s="5">
        <v>14</v>
      </c>
      <c r="W3" s="5">
        <v>23</v>
      </c>
    </row>
    <row r="4" spans="1:23" x14ac:dyDescent="0.25">
      <c r="A4" s="1">
        <v>2</v>
      </c>
      <c r="B4" s="1">
        <v>0</v>
      </c>
      <c r="C4" s="1">
        <v>-6</v>
      </c>
      <c r="E4" s="2"/>
      <c r="F4" s="2">
        <v>4</v>
      </c>
      <c r="G4" s="2">
        <v>-4</v>
      </c>
      <c r="H4" s="2">
        <v>-5</v>
      </c>
      <c r="J4" s="3"/>
      <c r="K4" s="3">
        <v>0</v>
      </c>
      <c r="L4" s="3">
        <v>-4</v>
      </c>
      <c r="M4" s="3">
        <v>7</v>
      </c>
      <c r="O4" s="4"/>
      <c r="P4" s="4">
        <v>10</v>
      </c>
      <c r="Q4" s="4">
        <v>-8</v>
      </c>
      <c r="R4" s="4">
        <v>-16</v>
      </c>
      <c r="T4" s="5"/>
      <c r="U4" s="5">
        <v>-36</v>
      </c>
      <c r="V4" s="5">
        <v>-14</v>
      </c>
      <c r="W4" s="5">
        <v>13</v>
      </c>
    </row>
    <row r="5" spans="1:23" x14ac:dyDescent="0.25">
      <c r="E5" t="s">
        <v>0</v>
      </c>
    </row>
    <row r="7" spans="1:23" x14ac:dyDescent="0.25">
      <c r="A7" s="1" t="s">
        <v>2</v>
      </c>
      <c r="B7" s="1"/>
      <c r="C7" s="1"/>
    </row>
    <row r="8" spans="1:23" x14ac:dyDescent="0.25">
      <c r="A8" s="1">
        <v>-2</v>
      </c>
      <c r="B8" s="1">
        <v>1</v>
      </c>
      <c r="C8" s="1">
        <v>3</v>
      </c>
    </row>
    <row r="9" spans="1:23" x14ac:dyDescent="0.25">
      <c r="A9" s="1">
        <v>8</v>
      </c>
      <c r="B9" s="1">
        <v>3</v>
      </c>
      <c r="C9" s="1">
        <v>0</v>
      </c>
    </row>
    <row r="10" spans="1:23" x14ac:dyDescent="0.25">
      <c r="A10" s="1">
        <v>2</v>
      </c>
      <c r="B10" s="1">
        <v>-4</v>
      </c>
      <c r="C10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82D0-B4C8-42E4-9113-6B35E8091DE0}">
  <dimension ref="A1:S20"/>
  <sheetViews>
    <sheetView workbookViewId="0">
      <selection activeCell="T30" sqref="T30"/>
    </sheetView>
  </sheetViews>
  <sheetFormatPr defaultRowHeight="15" x14ac:dyDescent="0.25"/>
  <cols>
    <col min="1" max="1" width="9.140625" style="7"/>
    <col min="9" max="9" width="9.140625" style="7"/>
    <col min="15" max="15" width="9.140625" style="7"/>
  </cols>
  <sheetData>
    <row r="1" spans="1:19" x14ac:dyDescent="0.25">
      <c r="A1" s="8" t="s">
        <v>13</v>
      </c>
      <c r="E1" s="11" t="s">
        <v>16</v>
      </c>
      <c r="F1" s="11"/>
      <c r="I1" s="9" t="s">
        <v>18</v>
      </c>
      <c r="J1" s="10" t="s">
        <v>11</v>
      </c>
      <c r="K1" s="10"/>
      <c r="L1" s="6"/>
      <c r="O1" s="13" t="s">
        <v>14</v>
      </c>
      <c r="P1" s="4" t="s">
        <v>1</v>
      </c>
      <c r="Q1" s="4"/>
    </row>
    <row r="2" spans="1:19" x14ac:dyDescent="0.25">
      <c r="B2" s="6" t="s">
        <v>11</v>
      </c>
      <c r="C2" s="6"/>
      <c r="E2" s="11" cm="1">
        <f t="array" ref="E2:F3">MMULT(B3:C4,B9:C10)</f>
        <v>11</v>
      </c>
      <c r="F2" s="11">
        <v>-19</v>
      </c>
      <c r="J2" s="10">
        <v>1</v>
      </c>
      <c r="K2" s="10">
        <v>4</v>
      </c>
      <c r="L2" s="6">
        <v>3</v>
      </c>
      <c r="P2" s="4">
        <v>1</v>
      </c>
      <c r="Q2" s="4">
        <v>2</v>
      </c>
    </row>
    <row r="3" spans="1:19" x14ac:dyDescent="0.25">
      <c r="B3" s="6">
        <v>2</v>
      </c>
      <c r="C3" s="6">
        <v>5</v>
      </c>
      <c r="E3" s="11">
        <v>7</v>
      </c>
      <c r="F3" s="11">
        <v>-12</v>
      </c>
      <c r="J3" s="10">
        <v>5</v>
      </c>
      <c r="K3" s="10">
        <v>-1</v>
      </c>
      <c r="L3" s="6">
        <v>-1</v>
      </c>
      <c r="P3" s="4">
        <v>1</v>
      </c>
      <c r="Q3" s="4">
        <v>-2</v>
      </c>
    </row>
    <row r="4" spans="1:19" x14ac:dyDescent="0.25">
      <c r="B4" s="6">
        <v>1</v>
      </c>
      <c r="C4" s="6">
        <v>3</v>
      </c>
      <c r="J4" s="10">
        <v>3</v>
      </c>
      <c r="K4" s="10">
        <v>6</v>
      </c>
      <c r="L4" s="6">
        <v>7</v>
      </c>
      <c r="P4" s="4">
        <v>1</v>
      </c>
      <c r="Q4" s="4">
        <v>3</v>
      </c>
    </row>
    <row r="6" spans="1:19" x14ac:dyDescent="0.25">
      <c r="J6" s="6" t="s">
        <v>15</v>
      </c>
      <c r="K6" s="6"/>
      <c r="L6" s="6"/>
      <c r="P6" s="6" t="s">
        <v>2</v>
      </c>
      <c r="Q6" s="6"/>
      <c r="R6" s="6"/>
    </row>
    <row r="7" spans="1:19" x14ac:dyDescent="0.25">
      <c r="E7" s="11" t="s">
        <v>17</v>
      </c>
      <c r="F7" s="11"/>
      <c r="J7" s="6">
        <v>2</v>
      </c>
      <c r="K7" s="6">
        <v>-1</v>
      </c>
      <c r="L7" s="6">
        <v>5</v>
      </c>
      <c r="P7" s="6">
        <v>2</v>
      </c>
      <c r="Q7" s="6">
        <v>1</v>
      </c>
      <c r="R7" s="6">
        <v>-1</v>
      </c>
    </row>
    <row r="8" spans="1:19" x14ac:dyDescent="0.25">
      <c r="B8" s="6" t="s">
        <v>12</v>
      </c>
      <c r="C8" s="6"/>
      <c r="E8" s="11" cm="1">
        <f t="array" ref="E8:F9">MMULT(B9:C10,B3:C4)</f>
        <v>-1</v>
      </c>
      <c r="F8" s="11">
        <v>-1</v>
      </c>
      <c r="J8" s="6">
        <v>1</v>
      </c>
      <c r="K8" s="6">
        <v>4</v>
      </c>
      <c r="L8" s="6">
        <v>-1</v>
      </c>
      <c r="P8" s="6">
        <v>0</v>
      </c>
      <c r="Q8" s="6">
        <v>3</v>
      </c>
      <c r="R8" s="6">
        <v>5</v>
      </c>
    </row>
    <row r="9" spans="1:19" x14ac:dyDescent="0.25">
      <c r="B9" s="6">
        <v>-2</v>
      </c>
      <c r="C9" s="6">
        <v>3</v>
      </c>
      <c r="E9" s="11">
        <v>1</v>
      </c>
      <c r="F9" s="11">
        <v>0</v>
      </c>
      <c r="J9" s="6">
        <v>3</v>
      </c>
      <c r="K9" s="6">
        <v>-5</v>
      </c>
      <c r="L9" s="6">
        <v>2</v>
      </c>
    </row>
    <row r="10" spans="1:19" x14ac:dyDescent="0.25">
      <c r="B10" s="6">
        <v>3</v>
      </c>
      <c r="C10" s="6">
        <v>-5</v>
      </c>
      <c r="Q10" s="12" t="s">
        <v>16</v>
      </c>
      <c r="R10" s="11"/>
      <c r="S10" s="11"/>
    </row>
    <row r="11" spans="1:19" x14ac:dyDescent="0.25">
      <c r="J11" s="12" t="s">
        <v>16</v>
      </c>
      <c r="K11" s="12"/>
      <c r="L11" s="12"/>
      <c r="Q11" s="11" cm="1">
        <f t="array" ref="Q11:S13">MMULT(P2:Q4,P7:R8)</f>
        <v>2</v>
      </c>
      <c r="R11" s="11">
        <v>7</v>
      </c>
      <c r="S11" s="11">
        <v>9</v>
      </c>
    </row>
    <row r="12" spans="1:19" x14ac:dyDescent="0.25">
      <c r="J12" s="12" cm="1">
        <f t="array" ref="J12:L14">MMULT(J2:L4,J7:L9)</f>
        <v>15</v>
      </c>
      <c r="K12" s="12">
        <v>0</v>
      </c>
      <c r="L12" s="12">
        <v>7</v>
      </c>
      <c r="Q12" s="11">
        <v>2</v>
      </c>
      <c r="R12" s="11">
        <v>-5</v>
      </c>
      <c r="S12" s="11">
        <v>-11</v>
      </c>
    </row>
    <row r="13" spans="1:19" x14ac:dyDescent="0.25">
      <c r="J13" s="12">
        <v>6</v>
      </c>
      <c r="K13" s="12">
        <v>-4</v>
      </c>
      <c r="L13" s="12">
        <v>24</v>
      </c>
      <c r="Q13" s="11">
        <v>2</v>
      </c>
      <c r="R13" s="11">
        <v>10</v>
      </c>
      <c r="S13" s="11">
        <v>14</v>
      </c>
    </row>
    <row r="14" spans="1:19" x14ac:dyDescent="0.25">
      <c r="J14" s="12">
        <v>33</v>
      </c>
      <c r="K14" s="12">
        <v>-14</v>
      </c>
      <c r="L14" s="12">
        <v>23</v>
      </c>
    </row>
    <row r="15" spans="1:19" x14ac:dyDescent="0.25">
      <c r="Q15" s="12" t="s">
        <v>17</v>
      </c>
      <c r="R15" s="11"/>
    </row>
    <row r="16" spans="1:19" x14ac:dyDescent="0.25">
      <c r="Q16" s="11" cm="1">
        <f t="array" ref="Q16:R17">MMULT(P7:R8,P2:Q4)</f>
        <v>2</v>
      </c>
      <c r="R16" s="11">
        <v>-1</v>
      </c>
    </row>
    <row r="17" spans="10:18" x14ac:dyDescent="0.25">
      <c r="J17" s="12" t="s">
        <v>17</v>
      </c>
      <c r="K17" s="12"/>
      <c r="L17" s="12"/>
      <c r="Q17" s="11">
        <v>8</v>
      </c>
      <c r="R17" s="11">
        <v>9</v>
      </c>
    </row>
    <row r="18" spans="10:18" x14ac:dyDescent="0.25">
      <c r="J18" s="12" cm="1">
        <f t="array" ref="J18:L20">MMULT(J7:L9,J2:L4)</f>
        <v>12</v>
      </c>
      <c r="K18" s="12">
        <v>39</v>
      </c>
      <c r="L18" s="12">
        <v>42</v>
      </c>
    </row>
    <row r="19" spans="10:18" x14ac:dyDescent="0.25">
      <c r="J19" s="12">
        <v>18</v>
      </c>
      <c r="K19" s="12">
        <v>-6</v>
      </c>
      <c r="L19" s="12">
        <v>-8</v>
      </c>
    </row>
    <row r="20" spans="10:18" x14ac:dyDescent="0.25">
      <c r="J20" s="12">
        <v>-16</v>
      </c>
      <c r="K20" s="12">
        <v>29</v>
      </c>
      <c r="L20" s="1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4D5D-7595-4F70-94B8-E54D65DACF93}">
  <dimension ref="A1:I5"/>
  <sheetViews>
    <sheetView workbookViewId="0">
      <selection activeCell="F37" sqref="F37"/>
    </sheetView>
  </sheetViews>
  <sheetFormatPr defaultRowHeight="15" x14ac:dyDescent="0.25"/>
  <sheetData>
    <row r="1" spans="1:9" x14ac:dyDescent="0.25">
      <c r="A1" s="15" t="s">
        <v>19</v>
      </c>
      <c r="B1" s="15"/>
      <c r="C1" s="15"/>
      <c r="D1" s="15"/>
      <c r="G1" s="15" t="s">
        <v>20</v>
      </c>
      <c r="H1" s="15"/>
      <c r="I1" s="15"/>
    </row>
    <row r="2" spans="1:9" x14ac:dyDescent="0.25">
      <c r="A2" s="15">
        <v>0</v>
      </c>
      <c r="B2" s="15">
        <v>1</v>
      </c>
      <c r="C2" s="15">
        <v>0</v>
      </c>
      <c r="D2" s="15">
        <v>0</v>
      </c>
      <c r="G2" s="15" cm="1">
        <f t="array" ref="G2:I5">TRANSPOSE(A2:D4)</f>
        <v>0</v>
      </c>
      <c r="H2" s="15">
        <v>-1</v>
      </c>
      <c r="I2" s="15">
        <v>-4</v>
      </c>
    </row>
    <row r="3" spans="1:9" x14ac:dyDescent="0.25">
      <c r="A3" s="15">
        <v>-1</v>
      </c>
      <c r="B3" s="15">
        <v>0</v>
      </c>
      <c r="C3" s="15">
        <v>4</v>
      </c>
      <c r="D3" s="15">
        <v>0</v>
      </c>
      <c r="G3" s="15">
        <v>1</v>
      </c>
      <c r="H3" s="15">
        <v>0</v>
      </c>
      <c r="I3" s="15">
        <v>0</v>
      </c>
    </row>
    <row r="4" spans="1:9" x14ac:dyDescent="0.25">
      <c r="A4" s="15">
        <v>-4</v>
      </c>
      <c r="B4" s="15">
        <v>0</v>
      </c>
      <c r="C4" s="15">
        <v>6</v>
      </c>
      <c r="D4" s="15">
        <v>0</v>
      </c>
      <c r="G4" s="15">
        <v>0</v>
      </c>
      <c r="H4" s="15">
        <v>4</v>
      </c>
      <c r="I4" s="15">
        <v>6</v>
      </c>
    </row>
    <row r="5" spans="1:9" x14ac:dyDescent="0.25">
      <c r="G5" s="15">
        <v>0</v>
      </c>
      <c r="H5" s="15">
        <v>0</v>
      </c>
      <c r="I5" s="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9DB2-07B9-4F14-9C6E-62D68CF358E3}">
  <dimension ref="A1:Y9"/>
  <sheetViews>
    <sheetView tabSelected="1" workbookViewId="0">
      <selection activeCell="W1" sqref="W1"/>
    </sheetView>
  </sheetViews>
  <sheetFormatPr defaultRowHeight="15" x14ac:dyDescent="0.25"/>
  <cols>
    <col min="8" max="8" width="9.140625" style="14"/>
    <col min="15" max="15" width="9.140625" style="18"/>
    <col min="21" max="21" width="9.140625" style="18"/>
  </cols>
  <sheetData>
    <row r="1" spans="1:25" x14ac:dyDescent="0.25">
      <c r="J1" s="16" t="s">
        <v>22</v>
      </c>
      <c r="Q1" s="16" t="s">
        <v>32</v>
      </c>
      <c r="W1" s="16" t="s">
        <v>33</v>
      </c>
    </row>
    <row r="3" spans="1:25" x14ac:dyDescent="0.25">
      <c r="A3" s="16" t="s">
        <v>21</v>
      </c>
      <c r="J3" t="s">
        <v>23</v>
      </c>
      <c r="K3" s="17" t="s">
        <v>24</v>
      </c>
      <c r="L3" s="17" t="s">
        <v>25</v>
      </c>
      <c r="M3" s="17" t="s">
        <v>26</v>
      </c>
      <c r="Q3" s="17" t="s">
        <v>31</v>
      </c>
      <c r="R3" s="17"/>
      <c r="W3" s="17" t="s">
        <v>34</v>
      </c>
      <c r="X3" s="17"/>
      <c r="Y3" s="17"/>
    </row>
    <row r="4" spans="1:25" x14ac:dyDescent="0.25">
      <c r="J4">
        <v>1</v>
      </c>
      <c r="K4" s="17" cm="1">
        <f t="array" ref="K4:M6">MMULT(A7:B9,D7:F8)</f>
        <v>980</v>
      </c>
      <c r="L4" s="17">
        <v>610</v>
      </c>
      <c r="M4" s="17">
        <v>700</v>
      </c>
      <c r="Q4" s="17" cm="1">
        <f t="array" ref="Q4:Q6">A7:A9*1.2</f>
        <v>60</v>
      </c>
      <c r="R4" s="17" cm="1">
        <f t="array" ref="R4:R6">B7:B9*1.1</f>
        <v>132</v>
      </c>
      <c r="W4" s="17" cm="1">
        <f t="array" ref="W4:Y6">MMULT(Q4:R6,D7:F8)</f>
        <v>1128</v>
      </c>
      <c r="X4" s="17">
        <v>696</v>
      </c>
      <c r="Y4" s="17">
        <v>780</v>
      </c>
    </row>
    <row r="5" spans="1:25" x14ac:dyDescent="0.25">
      <c r="A5" s="17" t="s">
        <v>28</v>
      </c>
      <c r="B5" s="17"/>
      <c r="D5" s="17" t="s">
        <v>27</v>
      </c>
      <c r="E5" s="17"/>
      <c r="F5" s="17"/>
      <c r="J5">
        <v>2</v>
      </c>
      <c r="K5" s="17">
        <v>1100</v>
      </c>
      <c r="L5" s="17">
        <v>750</v>
      </c>
      <c r="M5" s="17">
        <v>1060</v>
      </c>
      <c r="Q5" s="17">
        <v>36</v>
      </c>
      <c r="R5" s="17">
        <v>220.00000000000003</v>
      </c>
      <c r="W5" s="17">
        <v>1240</v>
      </c>
      <c r="X5" s="17">
        <v>840.00000000000011</v>
      </c>
      <c r="Y5" s="17">
        <v>1172.0000000000002</v>
      </c>
    </row>
    <row r="6" spans="1:25" x14ac:dyDescent="0.25">
      <c r="A6" s="17" t="s">
        <v>29</v>
      </c>
      <c r="B6" s="17" t="s">
        <v>30</v>
      </c>
      <c r="D6" s="17" t="s">
        <v>24</v>
      </c>
      <c r="E6" s="17" t="s">
        <v>25</v>
      </c>
      <c r="F6" s="17" t="s">
        <v>26</v>
      </c>
      <c r="J6">
        <v>3</v>
      </c>
      <c r="K6" s="17">
        <v>1000</v>
      </c>
      <c r="L6" s="17">
        <v>650</v>
      </c>
      <c r="M6" s="17">
        <v>830</v>
      </c>
      <c r="Q6" s="17">
        <v>48</v>
      </c>
      <c r="R6" s="17">
        <v>165</v>
      </c>
      <c r="W6" s="17">
        <v>1140</v>
      </c>
      <c r="X6" s="17">
        <v>735</v>
      </c>
      <c r="Y6" s="17">
        <v>921</v>
      </c>
    </row>
    <row r="7" spans="1:25" x14ac:dyDescent="0.25">
      <c r="A7" s="17">
        <v>50</v>
      </c>
      <c r="B7" s="17">
        <v>120</v>
      </c>
      <c r="D7" s="17">
        <v>10</v>
      </c>
      <c r="E7" s="17">
        <v>5</v>
      </c>
      <c r="F7" s="17">
        <v>2</v>
      </c>
    </row>
    <row r="8" spans="1:25" x14ac:dyDescent="0.25">
      <c r="A8" s="17">
        <v>30</v>
      </c>
      <c r="B8" s="17">
        <v>200</v>
      </c>
      <c r="D8" s="17">
        <v>4</v>
      </c>
      <c r="E8" s="17">
        <v>3</v>
      </c>
      <c r="F8" s="17">
        <v>5</v>
      </c>
    </row>
    <row r="9" spans="1:25" x14ac:dyDescent="0.25">
      <c r="A9" s="17">
        <v>40</v>
      </c>
      <c r="B9" s="1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задание2</vt:lpstr>
      <vt:lpstr>Задание 3 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2026-03-10T07:44:49Z</dcterms:created>
  <dcterms:modified xsi:type="dcterms:W3CDTF">2026-03-10T08:33:31Z</dcterms:modified>
</cp:coreProperties>
</file>