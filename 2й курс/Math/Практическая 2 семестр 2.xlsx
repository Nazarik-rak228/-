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Вышмат\"/>
    </mc:Choice>
  </mc:AlternateContent>
  <xr:revisionPtr revIDLastSave="0" documentId="13_ncr:1_{1D099268-8FA4-41C0-8CB3-D887C9D94D37}" xr6:coauthVersionLast="47" xr6:coauthVersionMax="47" xr10:uidLastSave="{00000000-0000-0000-0000-000000000000}"/>
  <bookViews>
    <workbookView xWindow="-120" yWindow="-120" windowWidth="29040" windowHeight="15720" activeTab="4" xr2:uid="{52C654A5-1BA5-4B97-AC42-48DD564EA169}"/>
  </bookViews>
  <sheets>
    <sheet name="Лист1" sheetId="1" r:id="rId1"/>
    <sheet name="Лист2" sheetId="2" r:id="rId2"/>
    <sheet name="Лист3" sheetId="3" r:id="rId3"/>
    <sheet name="Задание 2" sheetId="4" r:id="rId4"/>
    <sheet name="Задание 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2" i="5"/>
  <c r="B20" i="4"/>
  <c r="B3" i="4"/>
  <c r="B1" i="4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A4" i="4"/>
  <c r="A3" i="4"/>
  <c r="B7" i="4"/>
  <c r="B4" i="4"/>
  <c r="B16" i="4"/>
  <c r="B19" i="4"/>
  <c r="A1" i="4"/>
  <c r="B17" i="4"/>
  <c r="B21" i="4"/>
  <c r="B9" i="4"/>
  <c r="B11" i="4"/>
  <c r="B2" i="4"/>
  <c r="B5" i="4"/>
  <c r="B6" i="4"/>
  <c r="B8" i="4"/>
  <c r="B10" i="4"/>
  <c r="B12" i="4"/>
  <c r="B13" i="4"/>
  <c r="B14" i="4"/>
  <c r="B15" i="4"/>
  <c r="B18" i="4"/>
  <c r="C2" i="2"/>
  <c r="C48" i="3"/>
  <c r="E2" i="3"/>
  <c r="C12" i="3"/>
  <c r="E12" i="3" s="1"/>
  <c r="D14" i="3"/>
  <c r="D17" i="3"/>
  <c r="C24" i="3"/>
  <c r="E24" i="3" s="1"/>
  <c r="D26" i="3"/>
  <c r="C36" i="3"/>
  <c r="E36" i="3" s="1"/>
  <c r="D38" i="3"/>
  <c r="E48" i="3"/>
  <c r="D50" i="3"/>
  <c r="D82" i="3"/>
  <c r="D2" i="3"/>
  <c r="C2" i="3"/>
  <c r="B3" i="3"/>
  <c r="C3" i="3" s="1"/>
  <c r="E3" i="3" s="1"/>
  <c r="B4" i="3"/>
  <c r="C4" i="3" s="1"/>
  <c r="E4" i="3" s="1"/>
  <c r="B5" i="3"/>
  <c r="C5" i="3" s="1"/>
  <c r="E5" i="3" s="1"/>
  <c r="B6" i="3"/>
  <c r="D6" i="3" s="1"/>
  <c r="B7" i="3"/>
  <c r="C7" i="3" s="1"/>
  <c r="E7" i="3" s="1"/>
  <c r="B8" i="3"/>
  <c r="C8" i="3" s="1"/>
  <c r="E8" i="3" s="1"/>
  <c r="B9" i="3"/>
  <c r="C9" i="3" s="1"/>
  <c r="E9" i="3" s="1"/>
  <c r="B10" i="3"/>
  <c r="C10" i="3" s="1"/>
  <c r="E10" i="3" s="1"/>
  <c r="B11" i="3"/>
  <c r="C11" i="3" s="1"/>
  <c r="E11" i="3" s="1"/>
  <c r="B12" i="3"/>
  <c r="D12" i="3" s="1"/>
  <c r="B13" i="3"/>
  <c r="C13" i="3" s="1"/>
  <c r="E13" i="3" s="1"/>
  <c r="B14" i="3"/>
  <c r="C14" i="3" s="1"/>
  <c r="E14" i="3" s="1"/>
  <c r="B15" i="3"/>
  <c r="C15" i="3" s="1"/>
  <c r="E15" i="3" s="1"/>
  <c r="B16" i="3"/>
  <c r="C16" i="3" s="1"/>
  <c r="E16" i="3" s="1"/>
  <c r="B17" i="3"/>
  <c r="C17" i="3" s="1"/>
  <c r="E17" i="3" s="1"/>
  <c r="B18" i="3"/>
  <c r="C18" i="3" s="1"/>
  <c r="E18" i="3" s="1"/>
  <c r="B19" i="3"/>
  <c r="C19" i="3" s="1"/>
  <c r="E19" i="3" s="1"/>
  <c r="B20" i="3"/>
  <c r="C20" i="3" s="1"/>
  <c r="E20" i="3" s="1"/>
  <c r="B21" i="3"/>
  <c r="C21" i="3" s="1"/>
  <c r="E21" i="3" s="1"/>
  <c r="B22" i="3"/>
  <c r="C22" i="3" s="1"/>
  <c r="E22" i="3" s="1"/>
  <c r="B23" i="3"/>
  <c r="C23" i="3" s="1"/>
  <c r="E23" i="3" s="1"/>
  <c r="B24" i="3"/>
  <c r="D24" i="3" s="1"/>
  <c r="B25" i="3"/>
  <c r="C25" i="3" s="1"/>
  <c r="E25" i="3" s="1"/>
  <c r="B26" i="3"/>
  <c r="C26" i="3" s="1"/>
  <c r="E26" i="3" s="1"/>
  <c r="B27" i="3"/>
  <c r="C27" i="3" s="1"/>
  <c r="E27" i="3" s="1"/>
  <c r="B28" i="3"/>
  <c r="C28" i="3" s="1"/>
  <c r="E28" i="3" s="1"/>
  <c r="B29" i="3"/>
  <c r="C29" i="3" s="1"/>
  <c r="E29" i="3" s="1"/>
  <c r="B30" i="3"/>
  <c r="D30" i="3" s="1"/>
  <c r="B31" i="3"/>
  <c r="C31" i="3" s="1"/>
  <c r="E31" i="3" s="1"/>
  <c r="B32" i="3"/>
  <c r="C32" i="3" s="1"/>
  <c r="E32" i="3" s="1"/>
  <c r="B33" i="3"/>
  <c r="C33" i="3" s="1"/>
  <c r="E33" i="3" s="1"/>
  <c r="B34" i="3"/>
  <c r="C34" i="3" s="1"/>
  <c r="E34" i="3" s="1"/>
  <c r="B35" i="3"/>
  <c r="C35" i="3" s="1"/>
  <c r="E35" i="3" s="1"/>
  <c r="B36" i="3"/>
  <c r="D36" i="3" s="1"/>
  <c r="B37" i="3"/>
  <c r="C37" i="3" s="1"/>
  <c r="E37" i="3" s="1"/>
  <c r="B38" i="3"/>
  <c r="C38" i="3" s="1"/>
  <c r="E38" i="3" s="1"/>
  <c r="B39" i="3"/>
  <c r="C39" i="3" s="1"/>
  <c r="E39" i="3" s="1"/>
  <c r="B40" i="3"/>
  <c r="C40" i="3" s="1"/>
  <c r="E40" i="3" s="1"/>
  <c r="B41" i="3"/>
  <c r="C41" i="3" s="1"/>
  <c r="E41" i="3" s="1"/>
  <c r="B42" i="3"/>
  <c r="D42" i="3" s="1"/>
  <c r="B43" i="3"/>
  <c r="C43" i="3" s="1"/>
  <c r="E43" i="3" s="1"/>
  <c r="B44" i="3"/>
  <c r="C44" i="3" s="1"/>
  <c r="E44" i="3" s="1"/>
  <c r="B45" i="3"/>
  <c r="C45" i="3" s="1"/>
  <c r="E45" i="3" s="1"/>
  <c r="B46" i="3"/>
  <c r="C46" i="3" s="1"/>
  <c r="E46" i="3" s="1"/>
  <c r="B47" i="3"/>
  <c r="C47" i="3" s="1"/>
  <c r="E47" i="3" s="1"/>
  <c r="B48" i="3"/>
  <c r="D48" i="3" s="1"/>
  <c r="B49" i="3"/>
  <c r="C49" i="3" s="1"/>
  <c r="E49" i="3" s="1"/>
  <c r="B50" i="3"/>
  <c r="C50" i="3" s="1"/>
  <c r="E50" i="3" s="1"/>
  <c r="B51" i="3"/>
  <c r="C51" i="3" s="1"/>
  <c r="E51" i="3" s="1"/>
  <c r="B52" i="3"/>
  <c r="C52" i="3" s="1"/>
  <c r="E52" i="3" s="1"/>
  <c r="B53" i="3"/>
  <c r="C53" i="3" s="1"/>
  <c r="E53" i="3" s="1"/>
  <c r="B54" i="3"/>
  <c r="C54" i="3" s="1"/>
  <c r="E54" i="3" s="1"/>
  <c r="B55" i="3"/>
  <c r="C55" i="3" s="1"/>
  <c r="E55" i="3" s="1"/>
  <c r="B56" i="3"/>
  <c r="C56" i="3" s="1"/>
  <c r="E56" i="3" s="1"/>
  <c r="B57" i="3"/>
  <c r="C57" i="3" s="1"/>
  <c r="E57" i="3" s="1"/>
  <c r="B58" i="3"/>
  <c r="C58" i="3" s="1"/>
  <c r="E58" i="3" s="1"/>
  <c r="B59" i="3"/>
  <c r="C59" i="3" s="1"/>
  <c r="E59" i="3" s="1"/>
  <c r="B60" i="3"/>
  <c r="C60" i="3" s="1"/>
  <c r="E60" i="3" s="1"/>
  <c r="B61" i="3"/>
  <c r="C61" i="3" s="1"/>
  <c r="E61" i="3" s="1"/>
  <c r="B62" i="3"/>
  <c r="C62" i="3" s="1"/>
  <c r="E62" i="3" s="1"/>
  <c r="B63" i="3"/>
  <c r="C63" i="3" s="1"/>
  <c r="E63" i="3" s="1"/>
  <c r="B64" i="3"/>
  <c r="C64" i="3" s="1"/>
  <c r="E64" i="3" s="1"/>
  <c r="B65" i="3"/>
  <c r="C65" i="3" s="1"/>
  <c r="E65" i="3" s="1"/>
  <c r="B66" i="3"/>
  <c r="C66" i="3" s="1"/>
  <c r="E66" i="3" s="1"/>
  <c r="B67" i="3"/>
  <c r="C67" i="3" s="1"/>
  <c r="E67" i="3" s="1"/>
  <c r="B68" i="3"/>
  <c r="D68" i="3" s="1"/>
  <c r="B69" i="3"/>
  <c r="C69" i="3" s="1"/>
  <c r="E69" i="3" s="1"/>
  <c r="B70" i="3"/>
  <c r="C70" i="3" s="1"/>
  <c r="E70" i="3" s="1"/>
  <c r="B71" i="3"/>
  <c r="C71" i="3" s="1"/>
  <c r="E71" i="3" s="1"/>
  <c r="B72" i="3"/>
  <c r="C72" i="3" s="1"/>
  <c r="E72" i="3" s="1"/>
  <c r="B73" i="3"/>
  <c r="D73" i="3" s="1"/>
  <c r="B74" i="3"/>
  <c r="C74" i="3" s="1"/>
  <c r="E74" i="3" s="1"/>
  <c r="B75" i="3"/>
  <c r="C75" i="3" s="1"/>
  <c r="E75" i="3" s="1"/>
  <c r="B76" i="3"/>
  <c r="C76" i="3" s="1"/>
  <c r="E76" i="3" s="1"/>
  <c r="B77" i="3"/>
  <c r="C77" i="3" s="1"/>
  <c r="E77" i="3" s="1"/>
  <c r="B78" i="3"/>
  <c r="C78" i="3" s="1"/>
  <c r="E78" i="3" s="1"/>
  <c r="B79" i="3"/>
  <c r="D79" i="3" s="1"/>
  <c r="B80" i="3"/>
  <c r="D80" i="3" s="1"/>
  <c r="B81" i="3"/>
  <c r="C81" i="3" s="1"/>
  <c r="E81" i="3" s="1"/>
  <c r="B82" i="3"/>
  <c r="C82" i="3" s="1"/>
  <c r="E82" i="3" s="1"/>
  <c r="B83" i="3"/>
  <c r="C83" i="3" s="1"/>
  <c r="E83" i="3" s="1"/>
  <c r="B84" i="3"/>
  <c r="C84" i="3" s="1"/>
  <c r="E84" i="3" s="1"/>
  <c r="B85" i="3"/>
  <c r="D85" i="3" s="1"/>
  <c r="B86" i="3"/>
  <c r="C86" i="3" s="1"/>
  <c r="E86" i="3" s="1"/>
  <c r="B87" i="3"/>
  <c r="C87" i="3" s="1"/>
  <c r="E87" i="3" s="1"/>
  <c r="B88" i="3"/>
  <c r="C88" i="3" s="1"/>
  <c r="E88" i="3" s="1"/>
  <c r="B89" i="3"/>
  <c r="C89" i="3" s="1"/>
  <c r="E89" i="3" s="1"/>
  <c r="B90" i="3"/>
  <c r="C90" i="3" s="1"/>
  <c r="E90" i="3" s="1"/>
  <c r="B91" i="3"/>
  <c r="D91" i="3" s="1"/>
  <c r="B92" i="3"/>
  <c r="D92" i="3" s="1"/>
  <c r="B93" i="3"/>
  <c r="C93" i="3" s="1"/>
  <c r="E93" i="3" s="1"/>
  <c r="B94" i="3"/>
  <c r="C94" i="3" s="1"/>
  <c r="E94" i="3" s="1"/>
  <c r="B95" i="3"/>
  <c r="C95" i="3" s="1"/>
  <c r="E95" i="3" s="1"/>
  <c r="B2" i="3"/>
  <c r="B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D20" i="3" l="1"/>
  <c r="D44" i="3"/>
  <c r="D41" i="3"/>
  <c r="D32" i="3"/>
  <c r="D70" i="3"/>
  <c r="D23" i="3"/>
  <c r="D47" i="3"/>
  <c r="D11" i="3"/>
  <c r="D8" i="3"/>
  <c r="D35" i="3"/>
  <c r="D5" i="3"/>
  <c r="C85" i="3"/>
  <c r="E85" i="3" s="1"/>
  <c r="D29" i="3"/>
  <c r="D88" i="3"/>
  <c r="D62" i="3"/>
  <c r="C73" i="3"/>
  <c r="E73" i="3" s="1"/>
  <c r="D86" i="3"/>
  <c r="D46" i="3"/>
  <c r="D40" i="3"/>
  <c r="D34" i="3"/>
  <c r="D28" i="3"/>
  <c r="D22" i="3"/>
  <c r="D16" i="3"/>
  <c r="D10" i="3"/>
  <c r="D4" i="3"/>
  <c r="C42" i="3"/>
  <c r="E42" i="3" s="1"/>
  <c r="C30" i="3"/>
  <c r="E30" i="3" s="1"/>
  <c r="C6" i="3"/>
  <c r="E6" i="3" s="1"/>
  <c r="D61" i="3"/>
  <c r="D45" i="3"/>
  <c r="D39" i="3"/>
  <c r="D33" i="3"/>
  <c r="D27" i="3"/>
  <c r="D21" i="3"/>
  <c r="D15" i="3"/>
  <c r="D9" i="3"/>
  <c r="D3" i="3"/>
  <c r="D58" i="3"/>
  <c r="D95" i="3"/>
  <c r="D76" i="3"/>
  <c r="D74" i="3"/>
  <c r="D49" i="3"/>
  <c r="D43" i="3"/>
  <c r="D37" i="3"/>
  <c r="D31" i="3"/>
  <c r="D25" i="3"/>
  <c r="D19" i="3"/>
  <c r="D13" i="3"/>
  <c r="D7" i="3"/>
  <c r="D18" i="3"/>
  <c r="D94" i="3"/>
  <c r="D56" i="3"/>
  <c r="C68" i="3"/>
  <c r="E68" i="3" s="1"/>
  <c r="D55" i="3"/>
  <c r="C80" i="3"/>
  <c r="E80" i="3" s="1"/>
  <c r="C91" i="3"/>
  <c r="E91" i="3" s="1"/>
  <c r="C79" i="3"/>
  <c r="E79" i="3" s="1"/>
  <c r="D67" i="3"/>
  <c r="D84" i="3"/>
  <c r="D72" i="3"/>
  <c r="D60" i="3"/>
  <c r="D89" i="3"/>
  <c r="D83" i="3"/>
  <c r="D77" i="3"/>
  <c r="D71" i="3"/>
  <c r="D65" i="3"/>
  <c r="D59" i="3"/>
  <c r="D53" i="3"/>
  <c r="D90" i="3"/>
  <c r="D78" i="3"/>
  <c r="D66" i="3"/>
  <c r="D54" i="3"/>
  <c r="C92" i="3"/>
  <c r="E92" i="3" s="1"/>
  <c r="D64" i="3"/>
  <c r="D52" i="3"/>
  <c r="D93" i="3"/>
  <c r="D87" i="3"/>
  <c r="D81" i="3"/>
  <c r="D75" i="3"/>
  <c r="D69" i="3"/>
  <c r="D63" i="3"/>
  <c r="D57" i="3"/>
  <c r="D51" i="3"/>
</calcChain>
</file>

<file path=xl/sharedStrings.xml><?xml version="1.0" encoding="utf-8"?>
<sst xmlns="http://schemas.openxmlformats.org/spreadsheetml/2006/main" count="19" uniqueCount="14">
  <si>
    <t>x</t>
  </si>
  <si>
    <t>y</t>
  </si>
  <si>
    <t>x1</t>
  </si>
  <si>
    <t>y0</t>
  </si>
  <si>
    <t>x4</t>
  </si>
  <si>
    <t>t в градусах</t>
  </si>
  <si>
    <t>t в радианах</t>
  </si>
  <si>
    <t>R1</t>
  </si>
  <si>
    <t>R2</t>
  </si>
  <si>
    <t>t</t>
  </si>
  <si>
    <t>т радианы</t>
  </si>
  <si>
    <t>берем?</t>
  </si>
  <si>
    <t xml:space="preserve"> x =0</t>
  </si>
  <si>
    <t>"-y"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</si>
</sst>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336874453193349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</c:numCache>
            </c:numRef>
          </c:xVal>
          <c:yVal>
            <c:numRef>
              <c:f>Лист1!$B$2:$B$11</c:f>
              <c:numCache>
                <c:formatCode>General</c:formatCode>
                <c:ptCount val="10"/>
                <c:pt idx="0">
                  <c:v>-0.4</c:v>
                </c:pt>
                <c:pt idx="1">
                  <c:v>-0.44444444444444442</c:v>
                </c:pt>
                <c:pt idx="2">
                  <c:v>-0.5</c:v>
                </c:pt>
                <c:pt idx="3">
                  <c:v>-0.5714285714285714</c:v>
                </c:pt>
                <c:pt idx="4">
                  <c:v>-0.66666666666666663</c:v>
                </c:pt>
                <c:pt idx="5">
                  <c:v>-0.8</c:v>
                </c:pt>
                <c:pt idx="6">
                  <c:v>-1</c:v>
                </c:pt>
                <c:pt idx="7">
                  <c:v>-1.3333333333333333</c:v>
                </c:pt>
                <c:pt idx="8">
                  <c:v>-2</c:v>
                </c:pt>
                <c:pt idx="9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54-4EDB-9B34-B041BAD381D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Лист1!$A$13:$A$22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Лист1!$B$13:$B$22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1.3333333333333333</c:v>
                </c:pt>
                <c:pt idx="3">
                  <c:v>1</c:v>
                </c:pt>
                <c:pt idx="4">
                  <c:v>0.8</c:v>
                </c:pt>
                <c:pt idx="5">
                  <c:v>0.66666666666666663</c:v>
                </c:pt>
                <c:pt idx="6">
                  <c:v>0.5714285714285714</c:v>
                </c:pt>
                <c:pt idx="7">
                  <c:v>0.5</c:v>
                </c:pt>
                <c:pt idx="8">
                  <c:v>0.44444444444444442</c:v>
                </c:pt>
                <c:pt idx="9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54-4EDB-9B34-B041BAD381D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Лист1!$C$2:$C$22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0">
                  <c:v>-0.4</c:v>
                </c:pt>
                <c:pt idx="1">
                  <c:v>-0.44444444444444442</c:v>
                </c:pt>
                <c:pt idx="2">
                  <c:v>-0.5</c:v>
                </c:pt>
                <c:pt idx="3">
                  <c:v>-0.5714285714285714</c:v>
                </c:pt>
                <c:pt idx="4">
                  <c:v>-0.66666666666666663</c:v>
                </c:pt>
                <c:pt idx="5">
                  <c:v>-0.8</c:v>
                </c:pt>
                <c:pt idx="6">
                  <c:v>-1</c:v>
                </c:pt>
                <c:pt idx="7">
                  <c:v>-1.3333333333333333</c:v>
                </c:pt>
                <c:pt idx="8">
                  <c:v>-2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2</c:v>
                </c:pt>
                <c:pt idx="13">
                  <c:v>1.3333333333333333</c:v>
                </c:pt>
                <c:pt idx="14">
                  <c:v>1</c:v>
                </c:pt>
                <c:pt idx="15">
                  <c:v>0.8</c:v>
                </c:pt>
                <c:pt idx="16">
                  <c:v>0.66666666666666663</c:v>
                </c:pt>
                <c:pt idx="17">
                  <c:v>0.5714285714285714</c:v>
                </c:pt>
                <c:pt idx="18">
                  <c:v>0.5</c:v>
                </c:pt>
                <c:pt idx="19">
                  <c:v>0.44444444444444442</c:v>
                </c:pt>
                <c:pt idx="20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54-4EDB-9B34-B041BAD381D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Лист1!$D$2:$D$22</c:f>
              <c:numCache>
                <c:formatCode>General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0">
                  <c:v>-0.4</c:v>
                </c:pt>
                <c:pt idx="1">
                  <c:v>-0.44444444444444442</c:v>
                </c:pt>
                <c:pt idx="2">
                  <c:v>-0.5</c:v>
                </c:pt>
                <c:pt idx="3">
                  <c:v>-0.5714285714285714</c:v>
                </c:pt>
                <c:pt idx="4">
                  <c:v>-0.66666666666666663</c:v>
                </c:pt>
                <c:pt idx="5">
                  <c:v>-0.8</c:v>
                </c:pt>
                <c:pt idx="6">
                  <c:v>-1</c:v>
                </c:pt>
                <c:pt idx="7">
                  <c:v>-1.3333333333333333</c:v>
                </c:pt>
                <c:pt idx="8">
                  <c:v>-2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2</c:v>
                </c:pt>
                <c:pt idx="13">
                  <c:v>1.3333333333333333</c:v>
                </c:pt>
                <c:pt idx="14">
                  <c:v>1</c:v>
                </c:pt>
                <c:pt idx="15">
                  <c:v>0.8</c:v>
                </c:pt>
                <c:pt idx="16">
                  <c:v>0.66666666666666663</c:v>
                </c:pt>
                <c:pt idx="17">
                  <c:v>0.5714285714285714</c:v>
                </c:pt>
                <c:pt idx="18">
                  <c:v>0.5</c:v>
                </c:pt>
                <c:pt idx="19">
                  <c:v>0.44444444444444442</c:v>
                </c:pt>
                <c:pt idx="20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54-4EDB-9B34-B041BAD381D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Лист1!$E$2:$E$23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54-4EDB-9B34-B041BAD38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241552"/>
        <c:axId val="1034240592"/>
      </c:scatterChart>
      <c:valAx>
        <c:axId val="103424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240592"/>
        <c:crosses val="autoZero"/>
        <c:crossBetween val="midCat"/>
      </c:valAx>
      <c:valAx>
        <c:axId val="10342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24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Лист2!$C$2:$C$38</c:f>
              <c:numCache>
                <c:formatCode>General</c:formatCode>
                <c:ptCount val="37"/>
                <c:pt idx="0">
                  <c:v>0</c:v>
                </c:pt>
                <c:pt idx="1">
                  <c:v>0.17364817766693033</c:v>
                </c:pt>
                <c:pt idx="2">
                  <c:v>0.34202014332566871</c:v>
                </c:pt>
                <c:pt idx="3">
                  <c:v>0.49999999999999994</c:v>
                </c:pt>
                <c:pt idx="4">
                  <c:v>0.64278760968653925</c:v>
                </c:pt>
                <c:pt idx="5">
                  <c:v>0.76604444311897801</c:v>
                </c:pt>
                <c:pt idx="6">
                  <c:v>0.8660254037844386</c:v>
                </c:pt>
                <c:pt idx="7">
                  <c:v>0.93969262078590832</c:v>
                </c:pt>
                <c:pt idx="8">
                  <c:v>0.98480775301220802</c:v>
                </c:pt>
                <c:pt idx="9">
                  <c:v>1</c:v>
                </c:pt>
                <c:pt idx="10">
                  <c:v>0.98480775301220802</c:v>
                </c:pt>
                <c:pt idx="11">
                  <c:v>0.93969262078590843</c:v>
                </c:pt>
                <c:pt idx="12">
                  <c:v>0.86602540378443871</c:v>
                </c:pt>
                <c:pt idx="13">
                  <c:v>0.76604444311897801</c:v>
                </c:pt>
                <c:pt idx="14">
                  <c:v>0.64278760968653947</c:v>
                </c:pt>
                <c:pt idx="15">
                  <c:v>0.49999999999999994</c:v>
                </c:pt>
                <c:pt idx="16">
                  <c:v>0.34202014332566888</c:v>
                </c:pt>
                <c:pt idx="17">
                  <c:v>0.17364817766693028</c:v>
                </c:pt>
                <c:pt idx="18">
                  <c:v>1.22514845490862E-16</c:v>
                </c:pt>
                <c:pt idx="19">
                  <c:v>-0.17364817766693047</c:v>
                </c:pt>
                <c:pt idx="20">
                  <c:v>-0.34202014332566866</c:v>
                </c:pt>
                <c:pt idx="21">
                  <c:v>-0.50000000000000011</c:v>
                </c:pt>
                <c:pt idx="22">
                  <c:v>-0.64278760968653925</c:v>
                </c:pt>
                <c:pt idx="23">
                  <c:v>-0.7660444431189779</c:v>
                </c:pt>
                <c:pt idx="24">
                  <c:v>-0.86602540378443837</c:v>
                </c:pt>
                <c:pt idx="25">
                  <c:v>-0.93969262078590843</c:v>
                </c:pt>
                <c:pt idx="26">
                  <c:v>-0.98480775301220802</c:v>
                </c:pt>
                <c:pt idx="27">
                  <c:v>-1</c:v>
                </c:pt>
                <c:pt idx="28">
                  <c:v>-0.98480775301220813</c:v>
                </c:pt>
                <c:pt idx="29">
                  <c:v>-0.93969262078590832</c:v>
                </c:pt>
                <c:pt idx="30">
                  <c:v>-0.8660254037844386</c:v>
                </c:pt>
                <c:pt idx="31">
                  <c:v>-0.76604444311897812</c:v>
                </c:pt>
                <c:pt idx="32">
                  <c:v>-0.64278760968653958</c:v>
                </c:pt>
                <c:pt idx="33">
                  <c:v>-0.50000000000000044</c:v>
                </c:pt>
                <c:pt idx="34">
                  <c:v>-0.3420201433256686</c:v>
                </c:pt>
                <c:pt idx="35">
                  <c:v>-0.17364817766693039</c:v>
                </c:pt>
                <c:pt idx="36">
                  <c:v>-2.45029690981724E-16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A-45D6-AA97-70A447D6891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Лист2!$D$2:$D$38</c:f>
              <c:numCache>
                <c:formatCode>General</c:formatCode>
                <c:ptCount val="37"/>
                <c:pt idx="0">
                  <c:v>0</c:v>
                </c:pt>
                <c:pt idx="1">
                  <c:v>0.34729635533386066</c:v>
                </c:pt>
                <c:pt idx="2">
                  <c:v>0.68404028665133743</c:v>
                </c:pt>
                <c:pt idx="3">
                  <c:v>0.99999999999999989</c:v>
                </c:pt>
                <c:pt idx="4">
                  <c:v>1.2855752193730785</c:v>
                </c:pt>
                <c:pt idx="5">
                  <c:v>1.532088886237956</c:v>
                </c:pt>
                <c:pt idx="6">
                  <c:v>1.7320508075688772</c:v>
                </c:pt>
                <c:pt idx="7">
                  <c:v>1.8793852415718166</c:v>
                </c:pt>
                <c:pt idx="8">
                  <c:v>1.969615506024416</c:v>
                </c:pt>
                <c:pt idx="9">
                  <c:v>2</c:v>
                </c:pt>
                <c:pt idx="10">
                  <c:v>1.969615506024416</c:v>
                </c:pt>
                <c:pt idx="11">
                  <c:v>1.8793852415718169</c:v>
                </c:pt>
                <c:pt idx="12">
                  <c:v>1.7320508075688774</c:v>
                </c:pt>
                <c:pt idx="13">
                  <c:v>1.532088886237956</c:v>
                </c:pt>
                <c:pt idx="14">
                  <c:v>1.2855752193730789</c:v>
                </c:pt>
                <c:pt idx="15">
                  <c:v>0.99999999999999989</c:v>
                </c:pt>
                <c:pt idx="16">
                  <c:v>0.68404028665133776</c:v>
                </c:pt>
                <c:pt idx="17">
                  <c:v>0.34729635533386055</c:v>
                </c:pt>
                <c:pt idx="18">
                  <c:v>2.45029690981724E-16</c:v>
                </c:pt>
                <c:pt idx="19">
                  <c:v>-0.34729635533386094</c:v>
                </c:pt>
                <c:pt idx="20">
                  <c:v>-0.68404028665133731</c:v>
                </c:pt>
                <c:pt idx="21">
                  <c:v>-1.0000000000000002</c:v>
                </c:pt>
                <c:pt idx="22">
                  <c:v>-1.2855752193730785</c:v>
                </c:pt>
                <c:pt idx="23">
                  <c:v>-1.5320888862379558</c:v>
                </c:pt>
                <c:pt idx="24">
                  <c:v>-1.7320508075688767</c:v>
                </c:pt>
                <c:pt idx="25">
                  <c:v>-1.8793852415718169</c:v>
                </c:pt>
                <c:pt idx="26">
                  <c:v>-1.969615506024416</c:v>
                </c:pt>
                <c:pt idx="27">
                  <c:v>-2</c:v>
                </c:pt>
                <c:pt idx="28">
                  <c:v>-1.9696155060244163</c:v>
                </c:pt>
                <c:pt idx="29">
                  <c:v>-1.8793852415718166</c:v>
                </c:pt>
                <c:pt idx="30">
                  <c:v>-1.7320508075688772</c:v>
                </c:pt>
                <c:pt idx="31">
                  <c:v>-1.5320888862379562</c:v>
                </c:pt>
                <c:pt idx="32">
                  <c:v>-1.2855752193730792</c:v>
                </c:pt>
                <c:pt idx="33">
                  <c:v>-1.0000000000000009</c:v>
                </c:pt>
                <c:pt idx="34">
                  <c:v>-0.6840402866513372</c:v>
                </c:pt>
                <c:pt idx="35">
                  <c:v>-0.34729635533386077</c:v>
                </c:pt>
                <c:pt idx="36">
                  <c:v>-4.90059381963448E-16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A-45D6-AA97-70A447D68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549408"/>
        <c:axId val="1175547488"/>
      </c:radarChart>
      <c:catAx>
        <c:axId val="117554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5547488"/>
        <c:crosses val="autoZero"/>
        <c:auto val="1"/>
        <c:lblAlgn val="ctr"/>
        <c:lblOffset val="100"/>
        <c:noMultiLvlLbl val="0"/>
      </c:catAx>
      <c:valAx>
        <c:axId val="117554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554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Лист3!$C$2:$C$95</c:f>
              <c:numCache>
                <c:formatCode>General</c:formatCode>
                <c:ptCount val="94"/>
                <c:pt idx="0">
                  <c:v>3</c:v>
                </c:pt>
                <c:pt idx="1">
                  <c:v>2.9986294651678111</c:v>
                </c:pt>
                <c:pt idx="2">
                  <c:v>2.9945207823191708</c:v>
                </c:pt>
                <c:pt idx="3">
                  <c:v>2.9876827086441438</c:v>
                </c:pt>
                <c:pt idx="4">
                  <c:v>2.9781298136349581</c:v>
                </c:pt>
                <c:pt idx="5">
                  <c:v>2.9658824404232287</c:v>
                </c:pt>
                <c:pt idx="6">
                  <c:v>2.9509666517999795</c:v>
                </c:pt>
                <c:pt idx="7">
                  <c:v>2.9334141610658757</c:v>
                </c:pt>
                <c:pt idx="8">
                  <c:v>2.9132622479004846</c:v>
                </c:pt>
                <c:pt idx="9">
                  <c:v>2.8905536594803363</c:v>
                </c:pt>
                <c:pt idx="10">
                  <c:v>2.8653364971157966</c:v>
                </c:pt>
                <c:pt idx="11">
                  <c:v>2.8376640887163123</c:v>
                </c:pt>
                <c:pt idx="12">
                  <c:v>2.8075948474322736</c:v>
                </c:pt>
                <c:pt idx="13">
                  <c:v>2.7751921168595075</c:v>
                </c:pt>
                <c:pt idx="14">
                  <c:v>2.7405240032290377</c:v>
                </c:pt>
                <c:pt idx="15">
                  <c:v>2.7036631950403147</c:v>
                </c:pt>
                <c:pt idx="16">
                  <c:v>2.664686770630361</c:v>
                </c:pt>
                <c:pt idx="17">
                  <c:v>2.6236759942042074</c:v>
                </c:pt>
                <c:pt idx="18">
                  <c:v>2.5807161008834498</c:v>
                </c:pt>
                <c:pt idx="19">
                  <c:v>2.5358960713597334</c:v>
                </c:pt>
                <c:pt idx="20">
                  <c:v>2.4893083967682941</c:v>
                </c:pt>
                <c:pt idx="21">
                  <c:v>2.4410488344233641</c:v>
                </c:pt>
                <c:pt idx="22">
                  <c:v>2.3912161550821223</c:v>
                </c:pt>
                <c:pt idx="23">
                  <c:v>2.3399118824269665</c:v>
                </c:pt>
                <c:pt idx="24">
                  <c:v>2.2872400254770624</c:v>
                </c:pt>
                <c:pt idx="25">
                  <c:v>2.2333068046593527</c:v>
                </c:pt>
                <c:pt idx="26">
                  <c:v>2.1782203722864453</c:v>
                </c:pt>
                <c:pt idx="27">
                  <c:v>2.1220905282040015</c:v>
                </c:pt>
                <c:pt idx="28">
                  <c:v>2.0650284313833263</c:v>
                </c:pt>
                <c:pt idx="29">
                  <c:v>2.0071463082458481</c:v>
                </c:pt>
                <c:pt idx="30">
                  <c:v>1.9485571585149875</c:v>
                </c:pt>
                <c:pt idx="31">
                  <c:v>1.889374459397545</c:v>
                </c:pt>
                <c:pt idx="32">
                  <c:v>1.8297118689012182</c:v>
                </c:pt>
                <c:pt idx="33">
                  <c:v>1.7696829290970311</c:v>
                </c:pt>
                <c:pt idx="34">
                  <c:v>1.7094007701355238</c:v>
                </c:pt>
                <c:pt idx="35">
                  <c:v>1.6489778158233408</c:v>
                </c:pt>
                <c:pt idx="36">
                  <c:v>1.5885254915624212</c:v>
                </c:pt>
                <c:pt idx="37">
                  <c:v>1.5281539354474334</c:v>
                </c:pt>
                <c:pt idx="38">
                  <c:v>1.4679717133082739</c:v>
                </c:pt>
                <c:pt idx="39">
                  <c:v>1.4080855384735245</c:v>
                </c:pt>
                <c:pt idx="40">
                  <c:v>1.3485999970177005</c:v>
                </c:pt>
                <c:pt idx="41">
                  <c:v>1.2896172792399667</c:v>
                </c:pt>
                <c:pt idx="42">
                  <c:v>1.2312369181047822</c:v>
                </c:pt>
                <c:pt idx="43">
                  <c:v>1.1735555353557554</c:v>
                </c:pt>
                <c:pt idx="44">
                  <c:v>1.1166665959928217</c:v>
                </c:pt>
                <c:pt idx="45">
                  <c:v>1.0606601717798214</c:v>
                </c:pt>
                <c:pt idx="46">
                  <c:v>1.0056227144246981</c:v>
                </c:pt>
                <c:pt idx="47">
                  <c:v>1.0056227144246981</c:v>
                </c:pt>
                <c:pt idx="48">
                  <c:v>1.0606601717798205</c:v>
                </c:pt>
                <c:pt idx="49">
                  <c:v>1.1166665959928204</c:v>
                </c:pt>
                <c:pt idx="50">
                  <c:v>1.1735555353557565</c:v>
                </c:pt>
                <c:pt idx="51">
                  <c:v>1.2312369181047822</c:v>
                </c:pt>
                <c:pt idx="52">
                  <c:v>1.2896172792399663</c:v>
                </c:pt>
                <c:pt idx="53">
                  <c:v>1.3485999970176992</c:v>
                </c:pt>
                <c:pt idx="54">
                  <c:v>1.4080855384735227</c:v>
                </c:pt>
                <c:pt idx="55">
                  <c:v>1.4679717133082744</c:v>
                </c:pt>
                <c:pt idx="56">
                  <c:v>1.5281539354474334</c:v>
                </c:pt>
                <c:pt idx="57">
                  <c:v>1.5885254915624207</c:v>
                </c:pt>
                <c:pt idx="58">
                  <c:v>1.6489778158233395</c:v>
                </c:pt>
                <c:pt idx="59">
                  <c:v>1.7094007701355252</c:v>
                </c:pt>
                <c:pt idx="60">
                  <c:v>1.7696829290970311</c:v>
                </c:pt>
                <c:pt idx="61">
                  <c:v>1.8297118689012182</c:v>
                </c:pt>
                <c:pt idx="62">
                  <c:v>1.8893744593975434</c:v>
                </c:pt>
                <c:pt idx="63">
                  <c:v>1.9485571585149852</c:v>
                </c:pt>
                <c:pt idx="64">
                  <c:v>2.0071463082458489</c:v>
                </c:pt>
                <c:pt idx="65">
                  <c:v>2.0650284313833254</c:v>
                </c:pt>
                <c:pt idx="66">
                  <c:v>2.1220905282040001</c:v>
                </c:pt>
                <c:pt idx="67">
                  <c:v>2.1782203722864439</c:v>
                </c:pt>
                <c:pt idx="68">
                  <c:v>2.2333068046593541</c:v>
                </c:pt>
                <c:pt idx="69">
                  <c:v>2.2872400254770633</c:v>
                </c:pt>
                <c:pt idx="70">
                  <c:v>2.3399118824269656</c:v>
                </c:pt>
                <c:pt idx="71">
                  <c:v>2.3912161550821214</c:v>
                </c:pt>
                <c:pt idx="72">
                  <c:v>2.4410488344233618</c:v>
                </c:pt>
                <c:pt idx="73">
                  <c:v>2.4893083967682941</c:v>
                </c:pt>
                <c:pt idx="74">
                  <c:v>2.5358960713597334</c:v>
                </c:pt>
                <c:pt idx="75">
                  <c:v>2.5807161008834498</c:v>
                </c:pt>
                <c:pt idx="76">
                  <c:v>2.6236759942042065</c:v>
                </c:pt>
                <c:pt idx="77">
                  <c:v>2.664686770630361</c:v>
                </c:pt>
                <c:pt idx="78">
                  <c:v>2.7036631950403147</c:v>
                </c:pt>
                <c:pt idx="79">
                  <c:v>2.7405240032290377</c:v>
                </c:pt>
                <c:pt idx="80">
                  <c:v>2.7751921168595066</c:v>
                </c:pt>
                <c:pt idx="81">
                  <c:v>2.8075948474322727</c:v>
                </c:pt>
                <c:pt idx="82">
                  <c:v>2.8376640887163123</c:v>
                </c:pt>
                <c:pt idx="83">
                  <c:v>2.8653364971157966</c:v>
                </c:pt>
                <c:pt idx="84">
                  <c:v>2.8905536594803349</c:v>
                </c:pt>
                <c:pt idx="85">
                  <c:v>2.9132622479004833</c:v>
                </c:pt>
                <c:pt idx="86">
                  <c:v>2.9334141610658766</c:v>
                </c:pt>
                <c:pt idx="87">
                  <c:v>2.9509666517999795</c:v>
                </c:pt>
                <c:pt idx="88">
                  <c:v>2.9658824404232287</c:v>
                </c:pt>
                <c:pt idx="89">
                  <c:v>2.9781298136349581</c:v>
                </c:pt>
                <c:pt idx="90">
                  <c:v>2.9876827086441438</c:v>
                </c:pt>
                <c:pt idx="91">
                  <c:v>2.9945207823191708</c:v>
                </c:pt>
                <c:pt idx="92">
                  <c:v>2.9986294651678111</c:v>
                </c:pt>
                <c:pt idx="93">
                  <c:v>3</c:v>
                </c:pt>
              </c:numCache>
            </c:numRef>
          </c:xVal>
          <c:yVal>
            <c:numRef>
              <c:f>Лист3!$D$2:$D$95</c:f>
              <c:numCache>
                <c:formatCode>General</c:formatCode>
                <c:ptCount val="94"/>
                <c:pt idx="0">
                  <c:v>0</c:v>
                </c:pt>
                <c:pt idx="1">
                  <c:v>1.5947301680029297E-5</c:v>
                </c:pt>
                <c:pt idx="2">
                  <c:v>1.2752012988708264E-4</c:v>
                </c:pt>
                <c:pt idx="3">
                  <c:v>4.3005276645047188E-4</c:v>
                </c:pt>
                <c:pt idx="4">
                  <c:v>1.018297810962424E-3</c:v>
                </c:pt>
                <c:pt idx="5">
                  <c:v>1.9861373553403182E-3</c:v>
                </c:pt>
                <c:pt idx="6">
                  <c:v>3.4262965710097426E-3</c:v>
                </c:pt>
                <c:pt idx="7">
                  <c:v>5.4300605026066269E-3</c:v>
                </c:pt>
                <c:pt idx="8">
                  <c:v>8.0869948532970928E-3</c:v>
                </c:pt>
                <c:pt idx="9">
                  <c:v>1.148467153585936E-2</c:v>
                </c:pt>
                <c:pt idx="10">
                  <c:v>1.570839975059328E-2</c:v>
                </c:pt>
                <c:pt idx="11">
                  <c:v>2.084096333595551E-2</c:v>
                </c:pt>
                <c:pt idx="12">
                  <c:v>2.6962365120603661E-2</c:v>
                </c:pt>
                <c:pt idx="13">
                  <c:v>3.4149578986318166E-2</c:v>
                </c:pt>
                <c:pt idx="14">
                  <c:v>4.2476310330108721E-2</c:v>
                </c:pt>
                <c:pt idx="15">
                  <c:v>5.2012765590761054E-2</c:v>
                </c:pt>
                <c:pt idx="16">
                  <c:v>6.2825431480202476E-2</c:v>
                </c:pt>
                <c:pt idx="17">
                  <c:v>7.4976864533429499E-2</c:v>
                </c:pt>
                <c:pt idx="18">
                  <c:v>8.8525491562421121E-2</c:v>
                </c:pt>
                <c:pt idx="19">
                  <c:v>0.10352542156953451</c:v>
                </c:pt>
                <c:pt idx="20">
                  <c:v>0.12002626964442564</c:v>
                </c:pt>
                <c:pt idx="21">
                  <c:v>0.13807299333564971</c:v>
                </c:pt>
                <c:pt idx="22">
                  <c:v>0.15770574195385137</c:v>
                </c:pt>
                <c:pt idx="23">
                  <c:v>0.17895971922796466</c:v>
                </c:pt>
                <c:pt idx="24">
                  <c:v>0.20186505969918528</c:v>
                </c:pt>
                <c:pt idx="25">
                  <c:v>0.22644671919977255</c:v>
                </c:pt>
                <c:pt idx="26">
                  <c:v>0.25272437972506995</c:v>
                </c:pt>
                <c:pt idx="27">
                  <c:v>0.28071236896762691</c:v>
                </c:pt>
                <c:pt idx="28">
                  <c:v>0.31041959474204928</c:v>
                </c:pt>
                <c:pt idx="29">
                  <c:v>0.34184949448832797</c:v>
                </c:pt>
                <c:pt idx="30">
                  <c:v>0.37499999999999989</c:v>
                </c:pt>
                <c:pt idx="31">
                  <c:v>0.40986351748169148</c:v>
                </c:pt>
                <c:pt idx="32">
                  <c:v>0.44642692299850606</c:v>
                </c:pt>
                <c:pt idx="33">
                  <c:v>0.4846715733374577</c:v>
                </c:pt>
                <c:pt idx="34">
                  <c:v>0.52457333225882641</c:v>
                </c:pt>
                <c:pt idx="35">
                  <c:v>0.56610261207305235</c:v>
                </c:pt>
                <c:pt idx="36">
                  <c:v>0.60922443043669938</c:v>
                </c:pt>
                <c:pt idx="37">
                  <c:v>0.65389848221920732</c:v>
                </c:pt>
                <c:pt idx="38">
                  <c:v>0.70007922625078045</c:v>
                </c:pt>
                <c:pt idx="39">
                  <c:v>0.74771598672085815</c:v>
                </c:pt>
                <c:pt idx="40">
                  <c:v>0.7967530689563842</c:v>
                </c:pt>
                <c:pt idx="41">
                  <c:v>0.84712988926957333</c:v>
                </c:pt>
                <c:pt idx="42">
                  <c:v>0.89878111852622045</c:v>
                </c:pt>
                <c:pt idx="43">
                  <c:v>0.95163683904789331</c:v>
                </c:pt>
                <c:pt idx="44">
                  <c:v>1.0056227144246981</c:v>
                </c:pt>
                <c:pt idx="45">
                  <c:v>1.060660171779821</c:v>
                </c:pt>
                <c:pt idx="46">
                  <c:v>1.116666595992821</c:v>
                </c:pt>
                <c:pt idx="47">
                  <c:v>-1.1166665959928217</c:v>
                </c:pt>
                <c:pt idx="48">
                  <c:v>-1.0606601717798221</c:v>
                </c:pt>
                <c:pt idx="49">
                  <c:v>-1.0056227144246994</c:v>
                </c:pt>
                <c:pt idx="50">
                  <c:v>-0.95163683904789242</c:v>
                </c:pt>
                <c:pt idx="51">
                  <c:v>-0.89878111852622</c:v>
                </c:pt>
                <c:pt idx="52">
                  <c:v>-0.84712988926957378</c:v>
                </c:pt>
                <c:pt idx="53">
                  <c:v>-0.79675306895638554</c:v>
                </c:pt>
                <c:pt idx="54">
                  <c:v>-0.7477159867208597</c:v>
                </c:pt>
                <c:pt idx="55">
                  <c:v>-0.70007922625078023</c:v>
                </c:pt>
                <c:pt idx="56">
                  <c:v>-0.65389848221920732</c:v>
                </c:pt>
                <c:pt idx="57">
                  <c:v>-0.60922443043670005</c:v>
                </c:pt>
                <c:pt idx="58">
                  <c:v>-0.56610261207305368</c:v>
                </c:pt>
                <c:pt idx="59">
                  <c:v>-0.52457333225882541</c:v>
                </c:pt>
                <c:pt idx="60">
                  <c:v>-0.48467157333745725</c:v>
                </c:pt>
                <c:pt idx="61">
                  <c:v>-0.44642692299850628</c:v>
                </c:pt>
                <c:pt idx="62">
                  <c:v>-0.40986351748169225</c:v>
                </c:pt>
                <c:pt idx="63">
                  <c:v>-0.375000000000001</c:v>
                </c:pt>
                <c:pt idx="64">
                  <c:v>-0.34184949448832758</c:v>
                </c:pt>
                <c:pt idx="65">
                  <c:v>-0.31041959474204928</c:v>
                </c:pt>
                <c:pt idx="66">
                  <c:v>-0.2807123689676273</c:v>
                </c:pt>
                <c:pt idx="67">
                  <c:v>-0.25272437972507061</c:v>
                </c:pt>
                <c:pt idx="68">
                  <c:v>-0.22644671919977216</c:v>
                </c:pt>
                <c:pt idx="69">
                  <c:v>-0.2018650596991852</c:v>
                </c:pt>
                <c:pt idx="70">
                  <c:v>-0.1789597192279648</c:v>
                </c:pt>
                <c:pt idx="71">
                  <c:v>-0.15770574195385179</c:v>
                </c:pt>
                <c:pt idx="72">
                  <c:v>-0.13807299333565029</c:v>
                </c:pt>
                <c:pt idx="73">
                  <c:v>-0.12002626964442553</c:v>
                </c:pt>
                <c:pt idx="74">
                  <c:v>-0.10352542156953451</c:v>
                </c:pt>
                <c:pt idx="75">
                  <c:v>-8.8525491562421316E-2</c:v>
                </c:pt>
                <c:pt idx="76">
                  <c:v>-7.4976864533429818E-2</c:v>
                </c:pt>
                <c:pt idx="77">
                  <c:v>-6.2825431480202337E-2</c:v>
                </c:pt>
                <c:pt idx="78">
                  <c:v>-5.2012765590761026E-2</c:v>
                </c:pt>
                <c:pt idx="79">
                  <c:v>-4.2476310330108791E-2</c:v>
                </c:pt>
                <c:pt idx="80">
                  <c:v>-3.4149578986318305E-2</c:v>
                </c:pt>
                <c:pt idx="81">
                  <c:v>-2.6962365120603869E-2</c:v>
                </c:pt>
                <c:pt idx="82">
                  <c:v>-2.0840963335955469E-2</c:v>
                </c:pt>
                <c:pt idx="83">
                  <c:v>-1.5708399750593294E-2</c:v>
                </c:pt>
                <c:pt idx="84">
                  <c:v>-1.1484671535859418E-2</c:v>
                </c:pt>
                <c:pt idx="85">
                  <c:v>-8.0869948532971692E-3</c:v>
                </c:pt>
                <c:pt idx="86">
                  <c:v>-5.4300605026065931E-3</c:v>
                </c:pt>
                <c:pt idx="87">
                  <c:v>-3.4262965710097374E-3</c:v>
                </c:pt>
                <c:pt idx="88">
                  <c:v>-1.9861373553403286E-3</c:v>
                </c:pt>
                <c:pt idx="89">
                  <c:v>-1.0182978109624387E-3</c:v>
                </c:pt>
                <c:pt idx="90">
                  <c:v>-4.3005276645048511E-4</c:v>
                </c:pt>
                <c:pt idx="91">
                  <c:v>-1.2752012988708102E-4</c:v>
                </c:pt>
                <c:pt idx="92">
                  <c:v>-1.5947301680029433E-5</c:v>
                </c:pt>
                <c:pt idx="93">
                  <c:v>-4.4134416754507814E-47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E3-415A-98C0-FC5361E81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936736"/>
        <c:axId val="1867940096"/>
      </c:scatterChart>
      <c:valAx>
        <c:axId val="186793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7940096"/>
        <c:crosses val="autoZero"/>
        <c:crossBetween val="midCat"/>
      </c:valAx>
      <c:valAx>
        <c:axId val="18679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793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2'!$A$1:$A$21</c:f>
              <c:numCache>
                <c:formatCode>General</c:formatCode>
                <c:ptCount val="2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</c:numCache>
            </c:numRef>
          </c:xVal>
          <c:yVal>
            <c:numRef>
              <c:f>'Задание 2'!$B$1:$B$21</c:f>
              <c:numCache>
                <c:formatCode>General</c:formatCode>
                <c:ptCount val="21"/>
                <c:pt idx="0">
                  <c:v>-0.2876820724517809</c:v>
                </c:pt>
                <c:pt idx="1">
                  <c:v>-0.22627344432313742</c:v>
                </c:pt>
                <c:pt idx="2">
                  <c:v>-0.1743533871447778</c:v>
                </c:pt>
                <c:pt idx="3">
                  <c:v>-0.13067832364211612</c:v>
                </c:pt>
                <c:pt idx="4">
                  <c:v>-9.431067947124129E-2</c:v>
                </c:pt>
                <c:pt idx="5">
                  <c:v>-6.4538521137571178E-2</c:v>
                </c:pt>
                <c:pt idx="6">
                  <c:v>-4.0821994520255166E-2</c:v>
                </c:pt>
                <c:pt idx="7">
                  <c:v>-2.275698712261618E-2</c:v>
                </c:pt>
                <c:pt idx="8">
                  <c:v>-1.0050335853501451E-2</c:v>
                </c:pt>
                <c:pt idx="9">
                  <c:v>-2.503130218118477E-3</c:v>
                </c:pt>
                <c:pt idx="10">
                  <c:v>0</c:v>
                </c:pt>
                <c:pt idx="11">
                  <c:v>-2.503130218118477E-3</c:v>
                </c:pt>
                <c:pt idx="12">
                  <c:v>-1.0050335853501451E-2</c:v>
                </c:pt>
                <c:pt idx="13">
                  <c:v>-2.275698712261618E-2</c:v>
                </c:pt>
                <c:pt idx="14">
                  <c:v>-4.0821994520255166E-2</c:v>
                </c:pt>
                <c:pt idx="15">
                  <c:v>-6.4538521137571178E-2</c:v>
                </c:pt>
                <c:pt idx="16">
                  <c:v>-9.431067947124129E-2</c:v>
                </c:pt>
                <c:pt idx="17">
                  <c:v>-0.13067832364211612</c:v>
                </c:pt>
                <c:pt idx="18">
                  <c:v>-0.1743533871447778</c:v>
                </c:pt>
                <c:pt idx="19">
                  <c:v>-0.22627344432313742</c:v>
                </c:pt>
                <c:pt idx="20">
                  <c:v>-0.2876820724517809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25-4A49-815C-A8169A5C9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175568"/>
        <c:axId val="768814832"/>
      </c:scatterChart>
      <c:valAx>
        <c:axId val="76917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8814832"/>
        <c:crosses val="autoZero"/>
        <c:crossBetween val="midCat"/>
      </c:valAx>
      <c:valAx>
        <c:axId val="7688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917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83687445319335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3'!$A$4:$A$20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'Задание 3'!$B$4:$B$20</c:f>
              <c:numCache>
                <c:formatCode>General</c:formatCode>
                <c:ptCount val="17"/>
                <c:pt idx="0">
                  <c:v>4</c:v>
                </c:pt>
                <c:pt idx="1">
                  <c:v>3.872983346207417</c:v>
                </c:pt>
                <c:pt idx="2">
                  <c:v>3.7416573867739413</c:v>
                </c:pt>
                <c:pt idx="3">
                  <c:v>3.6055512754639891</c:v>
                </c:pt>
                <c:pt idx="4">
                  <c:v>3.4641016151377544</c:v>
                </c:pt>
                <c:pt idx="5">
                  <c:v>3.3166247903553998</c:v>
                </c:pt>
                <c:pt idx="6">
                  <c:v>3.1622776601683795</c:v>
                </c:pt>
                <c:pt idx="7">
                  <c:v>3</c:v>
                </c:pt>
                <c:pt idx="8">
                  <c:v>2.8284271247461903</c:v>
                </c:pt>
                <c:pt idx="9">
                  <c:v>2.6457513110645907</c:v>
                </c:pt>
                <c:pt idx="10">
                  <c:v>2.4494897427831779</c:v>
                </c:pt>
                <c:pt idx="11">
                  <c:v>2.2360679774997898</c:v>
                </c:pt>
                <c:pt idx="12">
                  <c:v>2</c:v>
                </c:pt>
                <c:pt idx="13">
                  <c:v>1.7320508075688772</c:v>
                </c:pt>
                <c:pt idx="14">
                  <c:v>1.4142135623730951</c:v>
                </c:pt>
                <c:pt idx="15">
                  <c:v>1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63-4F3A-91BC-A3473DA8DE5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3'!$C$2:$C$99</c:f>
              <c:numCache>
                <c:formatCode>General</c:formatCode>
                <c:ptCount val="98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'Задание 3'!$B$2:$B$99</c:f>
              <c:numCache>
                <c:formatCode>General</c:formatCode>
                <c:ptCount val="98"/>
                <c:pt idx="2">
                  <c:v>4</c:v>
                </c:pt>
                <c:pt idx="3">
                  <c:v>3.872983346207417</c:v>
                </c:pt>
                <c:pt idx="4">
                  <c:v>3.7416573867739413</c:v>
                </c:pt>
                <c:pt idx="5">
                  <c:v>3.6055512754639891</c:v>
                </c:pt>
                <c:pt idx="6">
                  <c:v>3.4641016151377544</c:v>
                </c:pt>
                <c:pt idx="7">
                  <c:v>3.3166247903553998</c:v>
                </c:pt>
                <c:pt idx="8">
                  <c:v>3.1622776601683795</c:v>
                </c:pt>
                <c:pt idx="9">
                  <c:v>3</c:v>
                </c:pt>
                <c:pt idx="10">
                  <c:v>2.8284271247461903</c:v>
                </c:pt>
                <c:pt idx="11">
                  <c:v>2.6457513110645907</c:v>
                </c:pt>
                <c:pt idx="12">
                  <c:v>2.4494897427831779</c:v>
                </c:pt>
                <c:pt idx="13">
                  <c:v>2.2360679774997898</c:v>
                </c:pt>
                <c:pt idx="14">
                  <c:v>2</c:v>
                </c:pt>
                <c:pt idx="15">
                  <c:v>1.7320508075688772</c:v>
                </c:pt>
                <c:pt idx="16">
                  <c:v>1.4142135623730951</c:v>
                </c:pt>
                <c:pt idx="17">
                  <c:v>1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63-4F3A-91BC-A3473DA8DE5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3'!$E$2:$E$18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'Задание 3'!$F$2:$F$18</c:f>
              <c:numCache>
                <c:formatCode>General</c:formatCode>
                <c:ptCount val="17"/>
                <c:pt idx="0">
                  <c:v>-4</c:v>
                </c:pt>
                <c:pt idx="1">
                  <c:v>-3.872983346207417</c:v>
                </c:pt>
                <c:pt idx="2">
                  <c:v>-3.7416573867739413</c:v>
                </c:pt>
                <c:pt idx="3">
                  <c:v>-3.6055512754639891</c:v>
                </c:pt>
                <c:pt idx="4">
                  <c:v>-3.4641016151377544</c:v>
                </c:pt>
                <c:pt idx="5">
                  <c:v>-3.3166247903553998</c:v>
                </c:pt>
                <c:pt idx="6">
                  <c:v>-3.1622776601683795</c:v>
                </c:pt>
                <c:pt idx="7">
                  <c:v>-3</c:v>
                </c:pt>
                <c:pt idx="8">
                  <c:v>-2.8284271247461903</c:v>
                </c:pt>
                <c:pt idx="9">
                  <c:v>-2.6457513110645907</c:v>
                </c:pt>
                <c:pt idx="10">
                  <c:v>-2.4494897427831779</c:v>
                </c:pt>
                <c:pt idx="11">
                  <c:v>-2.2360679774997898</c:v>
                </c:pt>
                <c:pt idx="12">
                  <c:v>-2</c:v>
                </c:pt>
                <c:pt idx="13">
                  <c:v>-1.7320508075688772</c:v>
                </c:pt>
                <c:pt idx="14">
                  <c:v>-1.4142135623730951</c:v>
                </c:pt>
                <c:pt idx="15">
                  <c:v>-1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63-4F3A-91BC-A3473DA8DE5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3'!$G:$G</c:f>
              <c:numCache>
                <c:formatCode>General</c:formatCode>
                <c:ptCount val="104857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'Задание 3'!$F$2:$F$18</c:f>
              <c:numCache>
                <c:formatCode>General</c:formatCode>
                <c:ptCount val="17"/>
                <c:pt idx="0">
                  <c:v>-4</c:v>
                </c:pt>
                <c:pt idx="1">
                  <c:v>-3.872983346207417</c:v>
                </c:pt>
                <c:pt idx="2">
                  <c:v>-3.7416573867739413</c:v>
                </c:pt>
                <c:pt idx="3">
                  <c:v>-3.6055512754639891</c:v>
                </c:pt>
                <c:pt idx="4">
                  <c:v>-3.4641016151377544</c:v>
                </c:pt>
                <c:pt idx="5">
                  <c:v>-3.3166247903553998</c:v>
                </c:pt>
                <c:pt idx="6">
                  <c:v>-3.1622776601683795</c:v>
                </c:pt>
                <c:pt idx="7">
                  <c:v>-3</c:v>
                </c:pt>
                <c:pt idx="8">
                  <c:v>-2.8284271247461903</c:v>
                </c:pt>
                <c:pt idx="9">
                  <c:v>-2.6457513110645907</c:v>
                </c:pt>
                <c:pt idx="10">
                  <c:v>-2.4494897427831779</c:v>
                </c:pt>
                <c:pt idx="11">
                  <c:v>-2.2360679774997898</c:v>
                </c:pt>
                <c:pt idx="12">
                  <c:v>-2</c:v>
                </c:pt>
                <c:pt idx="13">
                  <c:v>-1.7320508075688772</c:v>
                </c:pt>
                <c:pt idx="14">
                  <c:v>-1.4142135623730951</c:v>
                </c:pt>
                <c:pt idx="15">
                  <c:v>-1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63-4F3A-91BC-A3473DA8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917088"/>
        <c:axId val="964918048"/>
      </c:scatterChart>
      <c:valAx>
        <c:axId val="96491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4918048"/>
        <c:crosses val="autoZero"/>
        <c:crossBetween val="midCat"/>
      </c:valAx>
      <c:valAx>
        <c:axId val="9649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491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</xdr:row>
      <xdr:rowOff>14287</xdr:rowOff>
    </xdr:from>
    <xdr:to>
      <xdr:col>13</xdr:col>
      <xdr:colOff>257175</xdr:colOff>
      <xdr:row>15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FDFF502-52A4-D55C-C34F-975402FC9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13</xdr:row>
      <xdr:rowOff>71437</xdr:rowOff>
    </xdr:from>
    <xdr:to>
      <xdr:col>17</xdr:col>
      <xdr:colOff>476250</xdr:colOff>
      <xdr:row>27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511F340-25AB-D366-99CB-F7E1BC315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11697</xdr:colOff>
      <xdr:row>74</xdr:row>
      <xdr:rowOff>182479</xdr:rowOff>
    </xdr:from>
    <xdr:to>
      <xdr:col>16</xdr:col>
      <xdr:colOff>314158</xdr:colOff>
      <xdr:row>89</xdr:row>
      <xdr:rowOff>43113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9295E4-44B4-CAC2-F0CB-A177D7C2A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331304</xdr:colOff>
      <xdr:row>11</xdr:row>
      <xdr:rowOff>41413</xdr:rowOff>
    </xdr:from>
    <xdr:to>
      <xdr:col>25</xdr:col>
      <xdr:colOff>63500</xdr:colOff>
      <xdr:row>33</xdr:row>
      <xdr:rowOff>163719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FD7C9B5-5429-84AF-4C5D-EF5348813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604837</xdr:colOff>
      <xdr:row>1</xdr:row>
      <xdr:rowOff>33337</xdr:rowOff>
    </xdr:from>
    <xdr:to>
      <xdr:col>17</xdr:col>
      <xdr:colOff>300037</xdr:colOff>
      <xdr:row>15</xdr:row>
      <xdr:rowOff>109537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243166A-89D7-7ED8-CC5A-EDEF65F7F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3801-91E0-4035-A4CA-B4264A01801C}">
  <dimension ref="A1:E22"/>
  <sheetViews>
    <sheetView workbookViewId="0">
      <selection activeCell="G22" sqref="G2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-10</v>
      </c>
      <c r="B2">
        <f>4/A2</f>
        <v>-0.4</v>
      </c>
      <c r="C2">
        <v>1</v>
      </c>
      <c r="D2">
        <v>4</v>
      </c>
      <c r="E2">
        <v>0</v>
      </c>
    </row>
    <row r="3" spans="1:5" x14ac:dyDescent="0.25">
      <c r="A3">
        <v>-9</v>
      </c>
      <c r="B3">
        <f t="shared" ref="B3:B22" si="0">4/A3</f>
        <v>-0.44444444444444442</v>
      </c>
      <c r="C3">
        <v>1</v>
      </c>
      <c r="D3">
        <v>4</v>
      </c>
      <c r="E3">
        <v>0</v>
      </c>
    </row>
    <row r="4" spans="1:5" x14ac:dyDescent="0.25">
      <c r="A4">
        <v>-8</v>
      </c>
      <c r="B4">
        <f t="shared" si="0"/>
        <v>-0.5</v>
      </c>
      <c r="C4">
        <v>1</v>
      </c>
      <c r="D4">
        <v>4</v>
      </c>
      <c r="E4">
        <v>0</v>
      </c>
    </row>
    <row r="5" spans="1:5" x14ac:dyDescent="0.25">
      <c r="A5">
        <v>-7</v>
      </c>
      <c r="B5">
        <f t="shared" si="0"/>
        <v>-0.5714285714285714</v>
      </c>
      <c r="C5">
        <v>1</v>
      </c>
      <c r="D5">
        <v>4</v>
      </c>
      <c r="E5">
        <v>0</v>
      </c>
    </row>
    <row r="6" spans="1:5" x14ac:dyDescent="0.25">
      <c r="A6">
        <v>-6</v>
      </c>
      <c r="B6">
        <f t="shared" si="0"/>
        <v>-0.66666666666666663</v>
      </c>
      <c r="C6">
        <v>1</v>
      </c>
      <c r="D6">
        <v>4</v>
      </c>
      <c r="E6">
        <v>0</v>
      </c>
    </row>
    <row r="7" spans="1:5" x14ac:dyDescent="0.25">
      <c r="A7">
        <v>-5</v>
      </c>
      <c r="B7">
        <f t="shared" si="0"/>
        <v>-0.8</v>
      </c>
      <c r="C7">
        <v>1</v>
      </c>
      <c r="D7">
        <v>4</v>
      </c>
      <c r="E7">
        <v>0</v>
      </c>
    </row>
    <row r="8" spans="1:5" x14ac:dyDescent="0.25">
      <c r="A8">
        <v>-4</v>
      </c>
      <c r="B8">
        <f t="shared" si="0"/>
        <v>-1</v>
      </c>
      <c r="C8">
        <v>1</v>
      </c>
      <c r="D8">
        <v>4</v>
      </c>
      <c r="E8">
        <v>0</v>
      </c>
    </row>
    <row r="9" spans="1:5" x14ac:dyDescent="0.25">
      <c r="A9">
        <v>-3</v>
      </c>
      <c r="B9">
        <f t="shared" si="0"/>
        <v>-1.3333333333333333</v>
      </c>
      <c r="C9">
        <v>1</v>
      </c>
      <c r="D9">
        <v>4</v>
      </c>
      <c r="E9">
        <v>0</v>
      </c>
    </row>
    <row r="10" spans="1:5" x14ac:dyDescent="0.25">
      <c r="A10">
        <v>-2</v>
      </c>
      <c r="B10">
        <f t="shared" si="0"/>
        <v>-2</v>
      </c>
      <c r="C10">
        <v>1</v>
      </c>
      <c r="D10">
        <v>4</v>
      </c>
      <c r="E10">
        <v>0</v>
      </c>
    </row>
    <row r="11" spans="1:5" x14ac:dyDescent="0.25">
      <c r="A11">
        <v>-1</v>
      </c>
      <c r="B11">
        <f t="shared" si="0"/>
        <v>-4</v>
      </c>
      <c r="C11">
        <v>1</v>
      </c>
      <c r="D11">
        <v>4</v>
      </c>
      <c r="E11">
        <v>0</v>
      </c>
    </row>
    <row r="12" spans="1:5" x14ac:dyDescent="0.25">
      <c r="A12">
        <v>0</v>
      </c>
      <c r="B12" t="e">
        <f t="shared" si="0"/>
        <v>#DIV/0!</v>
      </c>
      <c r="C12">
        <v>1</v>
      </c>
      <c r="D12">
        <v>4</v>
      </c>
      <c r="E12">
        <v>0</v>
      </c>
    </row>
    <row r="13" spans="1:5" x14ac:dyDescent="0.25">
      <c r="A13">
        <v>1</v>
      </c>
      <c r="B13">
        <f t="shared" si="0"/>
        <v>4</v>
      </c>
      <c r="C13">
        <v>1</v>
      </c>
      <c r="D13">
        <v>4</v>
      </c>
      <c r="E13">
        <v>0</v>
      </c>
    </row>
    <row r="14" spans="1:5" x14ac:dyDescent="0.25">
      <c r="A14">
        <v>2</v>
      </c>
      <c r="B14">
        <f t="shared" si="0"/>
        <v>2</v>
      </c>
      <c r="C14">
        <v>1</v>
      </c>
      <c r="D14">
        <v>4</v>
      </c>
      <c r="E14">
        <v>0</v>
      </c>
    </row>
    <row r="15" spans="1:5" x14ac:dyDescent="0.25">
      <c r="A15">
        <v>3</v>
      </c>
      <c r="B15">
        <f t="shared" si="0"/>
        <v>1.3333333333333333</v>
      </c>
      <c r="C15">
        <v>1</v>
      </c>
      <c r="D15">
        <v>4</v>
      </c>
      <c r="E15">
        <v>0</v>
      </c>
    </row>
    <row r="16" spans="1:5" x14ac:dyDescent="0.25">
      <c r="A16">
        <v>4</v>
      </c>
      <c r="B16">
        <f t="shared" si="0"/>
        <v>1</v>
      </c>
      <c r="C16">
        <v>1</v>
      </c>
      <c r="D16">
        <v>4</v>
      </c>
      <c r="E16">
        <v>0</v>
      </c>
    </row>
    <row r="17" spans="1:5" x14ac:dyDescent="0.25">
      <c r="A17">
        <v>5</v>
      </c>
      <c r="B17">
        <f t="shared" si="0"/>
        <v>0.8</v>
      </c>
      <c r="C17">
        <v>1</v>
      </c>
      <c r="D17">
        <v>4</v>
      </c>
      <c r="E17">
        <v>0</v>
      </c>
    </row>
    <row r="18" spans="1:5" x14ac:dyDescent="0.25">
      <c r="A18">
        <v>6</v>
      </c>
      <c r="B18">
        <f t="shared" si="0"/>
        <v>0.66666666666666663</v>
      </c>
      <c r="C18">
        <v>1</v>
      </c>
      <c r="D18">
        <v>4</v>
      </c>
      <c r="E18">
        <v>0</v>
      </c>
    </row>
    <row r="19" spans="1:5" x14ac:dyDescent="0.25">
      <c r="A19">
        <v>7</v>
      </c>
      <c r="B19">
        <f t="shared" si="0"/>
        <v>0.5714285714285714</v>
      </c>
      <c r="C19">
        <v>1</v>
      </c>
      <c r="D19">
        <v>4</v>
      </c>
      <c r="E19">
        <v>0</v>
      </c>
    </row>
    <row r="20" spans="1:5" x14ac:dyDescent="0.25">
      <c r="A20">
        <v>8</v>
      </c>
      <c r="B20">
        <f t="shared" si="0"/>
        <v>0.5</v>
      </c>
      <c r="C20">
        <v>1</v>
      </c>
      <c r="D20">
        <v>4</v>
      </c>
      <c r="E20">
        <v>0</v>
      </c>
    </row>
    <row r="21" spans="1:5" x14ac:dyDescent="0.25">
      <c r="A21">
        <v>9</v>
      </c>
      <c r="B21">
        <f t="shared" si="0"/>
        <v>0.44444444444444442</v>
      </c>
      <c r="C21">
        <v>1</v>
      </c>
      <c r="D21">
        <v>4</v>
      </c>
      <c r="E21">
        <v>0</v>
      </c>
    </row>
    <row r="22" spans="1:5" x14ac:dyDescent="0.25">
      <c r="A22">
        <v>10</v>
      </c>
      <c r="B22">
        <f t="shared" si="0"/>
        <v>0.4</v>
      </c>
      <c r="C22">
        <v>1</v>
      </c>
      <c r="D22">
        <v>4</v>
      </c>
      <c r="E2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64A1-972E-441D-B413-65D5C1811320}">
  <dimension ref="A1:D38"/>
  <sheetViews>
    <sheetView topLeftCell="B1" zoomScale="98" zoomScaleNormal="109" workbookViewId="0">
      <selection activeCell="C2" sqref="C2"/>
    </sheetView>
  </sheetViews>
  <sheetFormatPr defaultRowHeight="15" x14ac:dyDescent="0.25"/>
  <cols>
    <col min="1" max="1" width="11.42578125" bestFit="1" customWidth="1"/>
    <col min="2" max="2" width="12.2851562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>
        <v>0</v>
      </c>
      <c r="B2">
        <f>RADIANS(A2)</f>
        <v>0</v>
      </c>
      <c r="C2">
        <f>SIN(B2)</f>
        <v>0</v>
      </c>
      <c r="D2">
        <f>2*SIN(B2)</f>
        <v>0</v>
      </c>
    </row>
    <row r="3" spans="1:4" x14ac:dyDescent="0.25">
      <c r="A3">
        <v>10</v>
      </c>
      <c r="B3">
        <f t="shared" ref="B3:B37" si="0">RADIANS(A3)</f>
        <v>0.17453292519943295</v>
      </c>
      <c r="C3">
        <f t="shared" ref="C3:C38" si="1">SIN(B3)</f>
        <v>0.17364817766693033</v>
      </c>
      <c r="D3">
        <f t="shared" ref="D3:D38" si="2">2*SIN(B3)</f>
        <v>0.34729635533386066</v>
      </c>
    </row>
    <row r="4" spans="1:4" x14ac:dyDescent="0.25">
      <c r="A4">
        <v>20</v>
      </c>
      <c r="B4">
        <f t="shared" si="0"/>
        <v>0.3490658503988659</v>
      </c>
      <c r="C4">
        <f t="shared" si="1"/>
        <v>0.34202014332566871</v>
      </c>
      <c r="D4">
        <f t="shared" si="2"/>
        <v>0.68404028665133743</v>
      </c>
    </row>
    <row r="5" spans="1:4" x14ac:dyDescent="0.25">
      <c r="A5">
        <v>30</v>
      </c>
      <c r="B5">
        <f t="shared" si="0"/>
        <v>0.52359877559829882</v>
      </c>
      <c r="C5">
        <f t="shared" si="1"/>
        <v>0.49999999999999994</v>
      </c>
      <c r="D5">
        <f t="shared" si="2"/>
        <v>0.99999999999999989</v>
      </c>
    </row>
    <row r="6" spans="1:4" x14ac:dyDescent="0.25">
      <c r="A6">
        <v>40</v>
      </c>
      <c r="B6">
        <f t="shared" si="0"/>
        <v>0.69813170079773179</v>
      </c>
      <c r="C6">
        <f t="shared" si="1"/>
        <v>0.64278760968653925</v>
      </c>
      <c r="D6">
        <f t="shared" si="2"/>
        <v>1.2855752193730785</v>
      </c>
    </row>
    <row r="7" spans="1:4" x14ac:dyDescent="0.25">
      <c r="A7">
        <v>50</v>
      </c>
      <c r="B7">
        <f t="shared" si="0"/>
        <v>0.87266462599716477</v>
      </c>
      <c r="C7">
        <f t="shared" si="1"/>
        <v>0.76604444311897801</v>
      </c>
      <c r="D7">
        <f t="shared" si="2"/>
        <v>1.532088886237956</v>
      </c>
    </row>
    <row r="8" spans="1:4" x14ac:dyDescent="0.25">
      <c r="A8">
        <v>60</v>
      </c>
      <c r="B8">
        <f t="shared" si="0"/>
        <v>1.0471975511965976</v>
      </c>
      <c r="C8">
        <f t="shared" si="1"/>
        <v>0.8660254037844386</v>
      </c>
      <c r="D8">
        <f t="shared" si="2"/>
        <v>1.7320508075688772</v>
      </c>
    </row>
    <row r="9" spans="1:4" x14ac:dyDescent="0.25">
      <c r="A9">
        <v>70</v>
      </c>
      <c r="B9">
        <f t="shared" si="0"/>
        <v>1.2217304763960306</v>
      </c>
      <c r="C9">
        <f t="shared" si="1"/>
        <v>0.93969262078590832</v>
      </c>
      <c r="D9">
        <f t="shared" si="2"/>
        <v>1.8793852415718166</v>
      </c>
    </row>
    <row r="10" spans="1:4" x14ac:dyDescent="0.25">
      <c r="A10">
        <v>80</v>
      </c>
      <c r="B10">
        <f t="shared" si="0"/>
        <v>1.3962634015954636</v>
      </c>
      <c r="C10">
        <f t="shared" si="1"/>
        <v>0.98480775301220802</v>
      </c>
      <c r="D10">
        <f t="shared" si="2"/>
        <v>1.969615506024416</v>
      </c>
    </row>
    <row r="11" spans="1:4" x14ac:dyDescent="0.25">
      <c r="A11">
        <v>90</v>
      </c>
      <c r="B11">
        <f t="shared" si="0"/>
        <v>1.5707963267948966</v>
      </c>
      <c r="C11">
        <f t="shared" si="1"/>
        <v>1</v>
      </c>
      <c r="D11">
        <f t="shared" si="2"/>
        <v>2</v>
      </c>
    </row>
    <row r="12" spans="1:4" x14ac:dyDescent="0.25">
      <c r="A12">
        <v>100</v>
      </c>
      <c r="B12">
        <f t="shared" si="0"/>
        <v>1.7453292519943295</v>
      </c>
      <c r="C12">
        <f t="shared" si="1"/>
        <v>0.98480775301220802</v>
      </c>
      <c r="D12">
        <f t="shared" si="2"/>
        <v>1.969615506024416</v>
      </c>
    </row>
    <row r="13" spans="1:4" x14ac:dyDescent="0.25">
      <c r="A13">
        <v>110</v>
      </c>
      <c r="B13">
        <f t="shared" si="0"/>
        <v>1.9198621771937625</v>
      </c>
      <c r="C13">
        <f t="shared" si="1"/>
        <v>0.93969262078590843</v>
      </c>
      <c r="D13">
        <f t="shared" si="2"/>
        <v>1.8793852415718169</v>
      </c>
    </row>
    <row r="14" spans="1:4" x14ac:dyDescent="0.25">
      <c r="A14">
        <v>120</v>
      </c>
      <c r="B14">
        <f t="shared" si="0"/>
        <v>2.0943951023931953</v>
      </c>
      <c r="C14">
        <f t="shared" si="1"/>
        <v>0.86602540378443871</v>
      </c>
      <c r="D14">
        <f t="shared" si="2"/>
        <v>1.7320508075688774</v>
      </c>
    </row>
    <row r="15" spans="1:4" x14ac:dyDescent="0.25">
      <c r="A15">
        <v>130</v>
      </c>
      <c r="B15">
        <f t="shared" si="0"/>
        <v>2.2689280275926285</v>
      </c>
      <c r="C15">
        <f t="shared" si="1"/>
        <v>0.76604444311897801</v>
      </c>
      <c r="D15">
        <f t="shared" si="2"/>
        <v>1.532088886237956</v>
      </c>
    </row>
    <row r="16" spans="1:4" x14ac:dyDescent="0.25">
      <c r="A16">
        <v>140</v>
      </c>
      <c r="B16">
        <f t="shared" si="0"/>
        <v>2.4434609527920612</v>
      </c>
      <c r="C16">
        <f t="shared" si="1"/>
        <v>0.64278760968653947</v>
      </c>
      <c r="D16">
        <f t="shared" si="2"/>
        <v>1.2855752193730789</v>
      </c>
    </row>
    <row r="17" spans="1:4" x14ac:dyDescent="0.25">
      <c r="A17">
        <v>150</v>
      </c>
      <c r="B17">
        <f t="shared" si="0"/>
        <v>2.6179938779914944</v>
      </c>
      <c r="C17">
        <f t="shared" si="1"/>
        <v>0.49999999999999994</v>
      </c>
      <c r="D17">
        <f t="shared" si="2"/>
        <v>0.99999999999999989</v>
      </c>
    </row>
    <row r="18" spans="1:4" x14ac:dyDescent="0.25">
      <c r="A18">
        <v>160</v>
      </c>
      <c r="B18">
        <f t="shared" si="0"/>
        <v>2.7925268031909272</v>
      </c>
      <c r="C18">
        <f t="shared" si="1"/>
        <v>0.34202014332566888</v>
      </c>
      <c r="D18">
        <f t="shared" si="2"/>
        <v>0.68404028665133776</v>
      </c>
    </row>
    <row r="19" spans="1:4" x14ac:dyDescent="0.25">
      <c r="A19">
        <v>170</v>
      </c>
      <c r="B19">
        <f t="shared" si="0"/>
        <v>2.9670597283903604</v>
      </c>
      <c r="C19">
        <f t="shared" si="1"/>
        <v>0.17364817766693028</v>
      </c>
      <c r="D19">
        <f t="shared" si="2"/>
        <v>0.34729635533386055</v>
      </c>
    </row>
    <row r="20" spans="1:4" x14ac:dyDescent="0.25">
      <c r="A20">
        <v>180</v>
      </c>
      <c r="B20">
        <f t="shared" si="0"/>
        <v>3.1415926535897931</v>
      </c>
      <c r="C20">
        <f t="shared" si="1"/>
        <v>1.22514845490862E-16</v>
      </c>
      <c r="D20">
        <f t="shared" si="2"/>
        <v>2.45029690981724E-16</v>
      </c>
    </row>
    <row r="21" spans="1:4" x14ac:dyDescent="0.25">
      <c r="A21">
        <v>190</v>
      </c>
      <c r="B21">
        <f t="shared" si="0"/>
        <v>3.3161255787892263</v>
      </c>
      <c r="C21">
        <f t="shared" si="1"/>
        <v>-0.17364817766693047</v>
      </c>
      <c r="D21">
        <f t="shared" si="2"/>
        <v>-0.34729635533386094</v>
      </c>
    </row>
    <row r="22" spans="1:4" x14ac:dyDescent="0.25">
      <c r="A22">
        <v>200</v>
      </c>
      <c r="B22">
        <f t="shared" si="0"/>
        <v>3.4906585039886591</v>
      </c>
      <c r="C22">
        <f t="shared" si="1"/>
        <v>-0.34202014332566866</v>
      </c>
      <c r="D22">
        <f t="shared" si="2"/>
        <v>-0.68404028665133731</v>
      </c>
    </row>
    <row r="23" spans="1:4" x14ac:dyDescent="0.25">
      <c r="A23">
        <v>210</v>
      </c>
      <c r="B23">
        <f t="shared" si="0"/>
        <v>3.6651914291880923</v>
      </c>
      <c r="C23">
        <f t="shared" si="1"/>
        <v>-0.50000000000000011</v>
      </c>
      <c r="D23">
        <f t="shared" si="2"/>
        <v>-1.0000000000000002</v>
      </c>
    </row>
    <row r="24" spans="1:4" x14ac:dyDescent="0.25">
      <c r="A24">
        <v>220</v>
      </c>
      <c r="B24">
        <f t="shared" si="0"/>
        <v>3.839724354387525</v>
      </c>
      <c r="C24">
        <f t="shared" si="1"/>
        <v>-0.64278760968653925</v>
      </c>
      <c r="D24">
        <f t="shared" si="2"/>
        <v>-1.2855752193730785</v>
      </c>
    </row>
    <row r="25" spans="1:4" x14ac:dyDescent="0.25">
      <c r="A25">
        <v>230</v>
      </c>
      <c r="B25">
        <f t="shared" si="0"/>
        <v>4.0142572795869578</v>
      </c>
      <c r="C25">
        <f t="shared" si="1"/>
        <v>-0.7660444431189779</v>
      </c>
      <c r="D25">
        <f t="shared" si="2"/>
        <v>-1.5320888862379558</v>
      </c>
    </row>
    <row r="26" spans="1:4" x14ac:dyDescent="0.25">
      <c r="A26">
        <v>240</v>
      </c>
      <c r="B26">
        <f t="shared" si="0"/>
        <v>4.1887902047863905</v>
      </c>
      <c r="C26">
        <f t="shared" si="1"/>
        <v>-0.86602540378443837</v>
      </c>
      <c r="D26">
        <f t="shared" si="2"/>
        <v>-1.7320508075688767</v>
      </c>
    </row>
    <row r="27" spans="1:4" x14ac:dyDescent="0.25">
      <c r="A27">
        <v>250</v>
      </c>
      <c r="B27">
        <f t="shared" si="0"/>
        <v>4.3633231299858242</v>
      </c>
      <c r="C27">
        <f t="shared" si="1"/>
        <v>-0.93969262078590843</v>
      </c>
      <c r="D27">
        <f t="shared" si="2"/>
        <v>-1.8793852415718169</v>
      </c>
    </row>
    <row r="28" spans="1:4" x14ac:dyDescent="0.25">
      <c r="A28">
        <v>260</v>
      </c>
      <c r="B28">
        <f t="shared" si="0"/>
        <v>4.5378560551852569</v>
      </c>
      <c r="C28">
        <f t="shared" si="1"/>
        <v>-0.98480775301220802</v>
      </c>
      <c r="D28">
        <f t="shared" si="2"/>
        <v>-1.969615506024416</v>
      </c>
    </row>
    <row r="29" spans="1:4" x14ac:dyDescent="0.25">
      <c r="A29">
        <v>270</v>
      </c>
      <c r="B29">
        <f t="shared" si="0"/>
        <v>4.7123889803846897</v>
      </c>
      <c r="C29">
        <f t="shared" si="1"/>
        <v>-1</v>
      </c>
      <c r="D29">
        <f t="shared" si="2"/>
        <v>-2</v>
      </c>
    </row>
    <row r="30" spans="1:4" x14ac:dyDescent="0.25">
      <c r="A30">
        <v>280</v>
      </c>
      <c r="B30">
        <f t="shared" si="0"/>
        <v>4.8869219055841224</v>
      </c>
      <c r="C30">
        <f t="shared" si="1"/>
        <v>-0.98480775301220813</v>
      </c>
      <c r="D30">
        <f t="shared" si="2"/>
        <v>-1.9696155060244163</v>
      </c>
    </row>
    <row r="31" spans="1:4" x14ac:dyDescent="0.25">
      <c r="A31">
        <v>290</v>
      </c>
      <c r="B31">
        <f t="shared" si="0"/>
        <v>5.0614548307835561</v>
      </c>
      <c r="C31">
        <f t="shared" si="1"/>
        <v>-0.93969262078590832</v>
      </c>
      <c r="D31">
        <f t="shared" si="2"/>
        <v>-1.8793852415718166</v>
      </c>
    </row>
    <row r="32" spans="1:4" x14ac:dyDescent="0.25">
      <c r="A32">
        <v>300</v>
      </c>
      <c r="B32">
        <f t="shared" si="0"/>
        <v>5.2359877559829888</v>
      </c>
      <c r="C32">
        <f t="shared" si="1"/>
        <v>-0.8660254037844386</v>
      </c>
      <c r="D32">
        <f t="shared" si="2"/>
        <v>-1.7320508075688772</v>
      </c>
    </row>
    <row r="33" spans="1:4" x14ac:dyDescent="0.25">
      <c r="A33">
        <v>310</v>
      </c>
      <c r="B33">
        <f t="shared" si="0"/>
        <v>5.4105206811824216</v>
      </c>
      <c r="C33">
        <f t="shared" si="1"/>
        <v>-0.76604444311897812</v>
      </c>
      <c r="D33">
        <f t="shared" si="2"/>
        <v>-1.5320888862379562</v>
      </c>
    </row>
    <row r="34" spans="1:4" x14ac:dyDescent="0.25">
      <c r="A34">
        <v>320</v>
      </c>
      <c r="B34">
        <f t="shared" si="0"/>
        <v>5.5850536063818543</v>
      </c>
      <c r="C34">
        <f t="shared" si="1"/>
        <v>-0.64278760968653958</v>
      </c>
      <c r="D34">
        <f t="shared" si="2"/>
        <v>-1.2855752193730792</v>
      </c>
    </row>
    <row r="35" spans="1:4" x14ac:dyDescent="0.25">
      <c r="A35">
        <v>330</v>
      </c>
      <c r="B35">
        <f t="shared" si="0"/>
        <v>5.7595865315812871</v>
      </c>
      <c r="C35">
        <f t="shared" si="1"/>
        <v>-0.50000000000000044</v>
      </c>
      <c r="D35">
        <f t="shared" si="2"/>
        <v>-1.0000000000000009</v>
      </c>
    </row>
    <row r="36" spans="1:4" x14ac:dyDescent="0.25">
      <c r="A36">
        <v>340</v>
      </c>
      <c r="B36">
        <f t="shared" si="0"/>
        <v>5.9341194567807207</v>
      </c>
      <c r="C36">
        <f t="shared" si="1"/>
        <v>-0.3420201433256686</v>
      </c>
      <c r="D36">
        <f t="shared" si="2"/>
        <v>-0.6840402866513372</v>
      </c>
    </row>
    <row r="37" spans="1:4" x14ac:dyDescent="0.25">
      <c r="A37">
        <v>350</v>
      </c>
      <c r="B37">
        <f t="shared" si="0"/>
        <v>6.1086523819801535</v>
      </c>
      <c r="C37">
        <f t="shared" si="1"/>
        <v>-0.17364817766693039</v>
      </c>
      <c r="D37">
        <f t="shared" si="2"/>
        <v>-0.34729635533386077</v>
      </c>
    </row>
    <row r="38" spans="1:4" x14ac:dyDescent="0.25">
      <c r="A38">
        <v>360</v>
      </c>
      <c r="B38">
        <f>RADIANS(A38)</f>
        <v>6.2831853071795862</v>
      </c>
      <c r="C38">
        <f t="shared" si="1"/>
        <v>-2.45029690981724E-16</v>
      </c>
      <c r="D38">
        <f t="shared" si="2"/>
        <v>-4.90059381963448E-16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7352-FD1A-475A-A931-660D044CC70B}">
  <dimension ref="A1:E95"/>
  <sheetViews>
    <sheetView topLeftCell="A67" zoomScale="114" workbookViewId="0">
      <selection activeCell="C2" sqref="C2:D95"/>
    </sheetView>
  </sheetViews>
  <sheetFormatPr defaultRowHeight="15" x14ac:dyDescent="0.25"/>
  <sheetData>
    <row r="1" spans="1:5" x14ac:dyDescent="0.25">
      <c r="A1" t="s">
        <v>9</v>
      </c>
      <c r="B1" t="s">
        <v>10</v>
      </c>
      <c r="C1" t="s">
        <v>0</v>
      </c>
      <c r="D1" t="s">
        <v>1</v>
      </c>
      <c r="E1" t="s">
        <v>11</v>
      </c>
    </row>
    <row r="2" spans="1:5" x14ac:dyDescent="0.25">
      <c r="A2">
        <v>0</v>
      </c>
      <c r="B2">
        <f xml:space="preserve"> RADIANS(A2)</f>
        <v>0</v>
      </c>
      <c r="C2">
        <f>3* COS(B2)^3</f>
        <v>3</v>
      </c>
      <c r="D2">
        <f>3*SIN(B2)^3</f>
        <v>0</v>
      </c>
      <c r="E2" t="str">
        <f xml:space="preserve"> IF(C2&lt;1,"нет","Да")</f>
        <v>Да</v>
      </c>
    </row>
    <row r="3" spans="1:5" x14ac:dyDescent="0.25">
      <c r="A3">
        <v>1</v>
      </c>
      <c r="B3">
        <f t="shared" ref="B3:B48" si="0" xml:space="preserve"> RADIANS(A3)</f>
        <v>1.7453292519943295E-2</v>
      </c>
      <c r="C3">
        <f t="shared" ref="C3:C47" si="1">3* COS(B3)^3</f>
        <v>2.9986294651678111</v>
      </c>
      <c r="D3">
        <f t="shared" ref="D3:D48" si="2">3*SIN(B3)^3</f>
        <v>1.5947301680029297E-5</v>
      </c>
      <c r="E3" t="str">
        <f t="shared" ref="E3:E48" si="3" xml:space="preserve"> IF(C3&lt;1,"нет","Да")</f>
        <v>Да</v>
      </c>
    </row>
    <row r="4" spans="1:5" x14ac:dyDescent="0.25">
      <c r="A4">
        <v>2</v>
      </c>
      <c r="B4">
        <f t="shared" si="0"/>
        <v>3.4906585039886591E-2</v>
      </c>
      <c r="C4">
        <f t="shared" si="1"/>
        <v>2.9945207823191708</v>
      </c>
      <c r="D4">
        <f t="shared" si="2"/>
        <v>1.2752012988708264E-4</v>
      </c>
      <c r="E4" t="str">
        <f t="shared" si="3"/>
        <v>Да</v>
      </c>
    </row>
    <row r="5" spans="1:5" x14ac:dyDescent="0.25">
      <c r="A5">
        <v>3</v>
      </c>
      <c r="B5">
        <f t="shared" si="0"/>
        <v>5.235987755982989E-2</v>
      </c>
      <c r="C5">
        <f t="shared" si="1"/>
        <v>2.9876827086441438</v>
      </c>
      <c r="D5">
        <f t="shared" si="2"/>
        <v>4.3005276645047188E-4</v>
      </c>
      <c r="E5" t="str">
        <f t="shared" si="3"/>
        <v>Да</v>
      </c>
    </row>
    <row r="6" spans="1:5" x14ac:dyDescent="0.25">
      <c r="A6">
        <v>4</v>
      </c>
      <c r="B6">
        <f t="shared" si="0"/>
        <v>6.9813170079773182E-2</v>
      </c>
      <c r="C6">
        <f t="shared" si="1"/>
        <v>2.9781298136349581</v>
      </c>
      <c r="D6">
        <f t="shared" si="2"/>
        <v>1.018297810962424E-3</v>
      </c>
      <c r="E6" t="str">
        <f t="shared" si="3"/>
        <v>Да</v>
      </c>
    </row>
    <row r="7" spans="1:5" x14ac:dyDescent="0.25">
      <c r="A7">
        <v>5</v>
      </c>
      <c r="B7">
        <f t="shared" si="0"/>
        <v>8.7266462599716474E-2</v>
      </c>
      <c r="C7">
        <f t="shared" si="1"/>
        <v>2.9658824404232287</v>
      </c>
      <c r="D7">
        <f t="shared" si="2"/>
        <v>1.9861373553403182E-3</v>
      </c>
      <c r="E7" t="str">
        <f t="shared" si="3"/>
        <v>Да</v>
      </c>
    </row>
    <row r="8" spans="1:5" x14ac:dyDescent="0.25">
      <c r="A8">
        <v>6</v>
      </c>
      <c r="B8">
        <f t="shared" si="0"/>
        <v>0.10471975511965978</v>
      </c>
      <c r="C8">
        <f t="shared" si="1"/>
        <v>2.9509666517999795</v>
      </c>
      <c r="D8">
        <f t="shared" si="2"/>
        <v>3.4262965710097426E-3</v>
      </c>
      <c r="E8" t="str">
        <f t="shared" si="3"/>
        <v>Да</v>
      </c>
    </row>
    <row r="9" spans="1:5" x14ac:dyDescent="0.25">
      <c r="A9">
        <v>7</v>
      </c>
      <c r="B9">
        <f t="shared" si="0"/>
        <v>0.12217304763960307</v>
      </c>
      <c r="C9">
        <f t="shared" si="1"/>
        <v>2.9334141610658757</v>
      </c>
      <c r="D9">
        <f t="shared" si="2"/>
        <v>5.4300605026066269E-3</v>
      </c>
      <c r="E9" t="str">
        <f t="shared" si="3"/>
        <v>Да</v>
      </c>
    </row>
    <row r="10" spans="1:5" x14ac:dyDescent="0.25">
      <c r="A10">
        <v>8</v>
      </c>
      <c r="B10">
        <f t="shared" si="0"/>
        <v>0.13962634015954636</v>
      </c>
      <c r="C10">
        <f t="shared" si="1"/>
        <v>2.9132622479004846</v>
      </c>
      <c r="D10">
        <f t="shared" si="2"/>
        <v>8.0869948532970928E-3</v>
      </c>
      <c r="E10" t="str">
        <f t="shared" si="3"/>
        <v>Да</v>
      </c>
    </row>
    <row r="11" spans="1:5" x14ac:dyDescent="0.25">
      <c r="A11">
        <v>9</v>
      </c>
      <c r="B11">
        <f t="shared" si="0"/>
        <v>0.15707963267948966</v>
      </c>
      <c r="C11">
        <f t="shared" si="1"/>
        <v>2.8905536594803363</v>
      </c>
      <c r="D11">
        <f t="shared" si="2"/>
        <v>1.148467153585936E-2</v>
      </c>
      <c r="E11" t="str">
        <f t="shared" si="3"/>
        <v>Да</v>
      </c>
    </row>
    <row r="12" spans="1:5" x14ac:dyDescent="0.25">
      <c r="A12">
        <v>10</v>
      </c>
      <c r="B12">
        <f t="shared" si="0"/>
        <v>0.17453292519943295</v>
      </c>
      <c r="C12">
        <f t="shared" si="1"/>
        <v>2.8653364971157966</v>
      </c>
      <c r="D12">
        <f t="shared" si="2"/>
        <v>1.570839975059328E-2</v>
      </c>
      <c r="E12" t="str">
        <f t="shared" si="3"/>
        <v>Да</v>
      </c>
    </row>
    <row r="13" spans="1:5" x14ac:dyDescent="0.25">
      <c r="A13">
        <v>11</v>
      </c>
      <c r="B13">
        <f t="shared" si="0"/>
        <v>0.19198621771937624</v>
      </c>
      <c r="C13">
        <f t="shared" si="1"/>
        <v>2.8376640887163123</v>
      </c>
      <c r="D13">
        <f t="shared" si="2"/>
        <v>2.084096333595551E-2</v>
      </c>
      <c r="E13" t="str">
        <f t="shared" si="3"/>
        <v>Да</v>
      </c>
    </row>
    <row r="14" spans="1:5" x14ac:dyDescent="0.25">
      <c r="A14">
        <v>12</v>
      </c>
      <c r="B14">
        <f t="shared" si="0"/>
        <v>0.20943951023931956</v>
      </c>
      <c r="C14">
        <f t="shared" si="1"/>
        <v>2.8075948474322736</v>
      </c>
      <c r="D14">
        <f t="shared" si="2"/>
        <v>2.6962365120603661E-2</v>
      </c>
      <c r="E14" t="str">
        <f t="shared" si="3"/>
        <v>Да</v>
      </c>
    </row>
    <row r="15" spans="1:5" x14ac:dyDescent="0.25">
      <c r="A15">
        <v>13</v>
      </c>
      <c r="B15">
        <f t="shared" si="0"/>
        <v>0.22689280275926285</v>
      </c>
      <c r="C15">
        <f t="shared" si="1"/>
        <v>2.7751921168595075</v>
      </c>
      <c r="D15">
        <f t="shared" si="2"/>
        <v>3.4149578986318166E-2</v>
      </c>
      <c r="E15" t="str">
        <f t="shared" si="3"/>
        <v>Да</v>
      </c>
    </row>
    <row r="16" spans="1:5" x14ac:dyDescent="0.25">
      <c r="A16">
        <v>14</v>
      </c>
      <c r="B16">
        <f t="shared" si="0"/>
        <v>0.24434609527920614</v>
      </c>
      <c r="C16">
        <f t="shared" si="1"/>
        <v>2.7405240032290377</v>
      </c>
      <c r="D16">
        <f t="shared" si="2"/>
        <v>4.2476310330108721E-2</v>
      </c>
      <c r="E16" t="str">
        <f t="shared" si="3"/>
        <v>Да</v>
      </c>
    </row>
    <row r="17" spans="1:5" x14ac:dyDescent="0.25">
      <c r="A17">
        <v>15</v>
      </c>
      <c r="B17">
        <f t="shared" si="0"/>
        <v>0.26179938779914941</v>
      </c>
      <c r="C17">
        <f t="shared" si="1"/>
        <v>2.7036631950403147</v>
      </c>
      <c r="D17">
        <f t="shared" si="2"/>
        <v>5.2012765590761054E-2</v>
      </c>
      <c r="E17" t="str">
        <f t="shared" si="3"/>
        <v>Да</v>
      </c>
    </row>
    <row r="18" spans="1:5" x14ac:dyDescent="0.25">
      <c r="A18">
        <v>16</v>
      </c>
      <c r="B18">
        <f t="shared" si="0"/>
        <v>0.27925268031909273</v>
      </c>
      <c r="C18">
        <f t="shared" si="1"/>
        <v>2.664686770630361</v>
      </c>
      <c r="D18">
        <f t="shared" si="2"/>
        <v>6.2825431480202476E-2</v>
      </c>
      <c r="E18" t="str">
        <f t="shared" si="3"/>
        <v>Да</v>
      </c>
    </row>
    <row r="19" spans="1:5" x14ac:dyDescent="0.25">
      <c r="A19">
        <v>17</v>
      </c>
      <c r="B19">
        <f t="shared" si="0"/>
        <v>0.29670597283903605</v>
      </c>
      <c r="C19">
        <f t="shared" si="1"/>
        <v>2.6236759942042074</v>
      </c>
      <c r="D19">
        <f t="shared" si="2"/>
        <v>7.4976864533429499E-2</v>
      </c>
      <c r="E19" t="str">
        <f t="shared" si="3"/>
        <v>Да</v>
      </c>
    </row>
    <row r="20" spans="1:5" x14ac:dyDescent="0.25">
      <c r="A20">
        <v>18</v>
      </c>
      <c r="B20">
        <f t="shared" si="0"/>
        <v>0.31415926535897931</v>
      </c>
      <c r="C20">
        <f t="shared" si="1"/>
        <v>2.5807161008834498</v>
      </c>
      <c r="D20">
        <f t="shared" si="2"/>
        <v>8.8525491562421121E-2</v>
      </c>
      <c r="E20" t="str">
        <f t="shared" si="3"/>
        <v>Да</v>
      </c>
    </row>
    <row r="21" spans="1:5" x14ac:dyDescent="0.25">
      <c r="A21">
        <v>19</v>
      </c>
      <c r="B21">
        <f t="shared" si="0"/>
        <v>0.33161255787892263</v>
      </c>
      <c r="C21">
        <f t="shared" si="1"/>
        <v>2.5358960713597334</v>
      </c>
      <c r="D21">
        <f t="shared" si="2"/>
        <v>0.10352542156953451</v>
      </c>
      <c r="E21" t="str">
        <f t="shared" si="3"/>
        <v>Да</v>
      </c>
    </row>
    <row r="22" spans="1:5" x14ac:dyDescent="0.25">
      <c r="A22">
        <v>20</v>
      </c>
      <c r="B22">
        <f t="shared" si="0"/>
        <v>0.3490658503988659</v>
      </c>
      <c r="C22">
        <f t="shared" si="1"/>
        <v>2.4893083967682941</v>
      </c>
      <c r="D22">
        <f t="shared" si="2"/>
        <v>0.12002626964442564</v>
      </c>
      <c r="E22" t="str">
        <f t="shared" si="3"/>
        <v>Да</v>
      </c>
    </row>
    <row r="23" spans="1:5" x14ac:dyDescent="0.25">
      <c r="A23">
        <v>21</v>
      </c>
      <c r="B23">
        <f t="shared" si="0"/>
        <v>0.36651914291880922</v>
      </c>
      <c r="C23">
        <f t="shared" si="1"/>
        <v>2.4410488344233641</v>
      </c>
      <c r="D23">
        <f t="shared" si="2"/>
        <v>0.13807299333564971</v>
      </c>
      <c r="E23" t="str">
        <f t="shared" si="3"/>
        <v>Да</v>
      </c>
    </row>
    <row r="24" spans="1:5" x14ac:dyDescent="0.25">
      <c r="A24">
        <v>22</v>
      </c>
      <c r="B24">
        <f t="shared" si="0"/>
        <v>0.38397243543875248</v>
      </c>
      <c r="C24">
        <f t="shared" si="1"/>
        <v>2.3912161550821223</v>
      </c>
      <c r="D24">
        <f t="shared" si="2"/>
        <v>0.15770574195385137</v>
      </c>
      <c r="E24" t="str">
        <f t="shared" si="3"/>
        <v>Да</v>
      </c>
    </row>
    <row r="25" spans="1:5" x14ac:dyDescent="0.25">
      <c r="A25">
        <v>23</v>
      </c>
      <c r="B25">
        <f t="shared" si="0"/>
        <v>0.4014257279586958</v>
      </c>
      <c r="C25">
        <f t="shared" si="1"/>
        <v>2.3399118824269665</v>
      </c>
      <c r="D25">
        <f t="shared" si="2"/>
        <v>0.17895971922796466</v>
      </c>
      <c r="E25" t="str">
        <f t="shared" si="3"/>
        <v>Да</v>
      </c>
    </row>
    <row r="26" spans="1:5" x14ac:dyDescent="0.25">
      <c r="A26">
        <v>24</v>
      </c>
      <c r="B26">
        <f t="shared" si="0"/>
        <v>0.41887902047863912</v>
      </c>
      <c r="C26">
        <f t="shared" si="1"/>
        <v>2.2872400254770624</v>
      </c>
      <c r="D26">
        <f t="shared" si="2"/>
        <v>0.20186505969918528</v>
      </c>
      <c r="E26" t="str">
        <f t="shared" si="3"/>
        <v>Да</v>
      </c>
    </row>
    <row r="27" spans="1:5" x14ac:dyDescent="0.25">
      <c r="A27">
        <v>25</v>
      </c>
      <c r="B27">
        <f t="shared" si="0"/>
        <v>0.43633231299858238</v>
      </c>
      <c r="C27">
        <f t="shared" si="1"/>
        <v>2.2333068046593527</v>
      </c>
      <c r="D27">
        <f t="shared" si="2"/>
        <v>0.22644671919977255</v>
      </c>
      <c r="E27" t="str">
        <f t="shared" si="3"/>
        <v>Да</v>
      </c>
    </row>
    <row r="28" spans="1:5" x14ac:dyDescent="0.25">
      <c r="A28">
        <v>26</v>
      </c>
      <c r="B28">
        <f t="shared" si="0"/>
        <v>0.4537856055185257</v>
      </c>
      <c r="C28">
        <f t="shared" si="1"/>
        <v>2.1782203722864453</v>
      </c>
      <c r="D28">
        <f t="shared" si="2"/>
        <v>0.25272437972506995</v>
      </c>
      <c r="E28" t="str">
        <f t="shared" si="3"/>
        <v>Да</v>
      </c>
    </row>
    <row r="29" spans="1:5" x14ac:dyDescent="0.25">
      <c r="A29">
        <v>27</v>
      </c>
      <c r="B29">
        <f t="shared" si="0"/>
        <v>0.47123889803846897</v>
      </c>
      <c r="C29">
        <f t="shared" si="1"/>
        <v>2.1220905282040015</v>
      </c>
      <c r="D29">
        <f t="shared" si="2"/>
        <v>0.28071236896762691</v>
      </c>
      <c r="E29" t="str">
        <f t="shared" si="3"/>
        <v>Да</v>
      </c>
    </row>
    <row r="30" spans="1:5" x14ac:dyDescent="0.25">
      <c r="A30">
        <v>28</v>
      </c>
      <c r="B30">
        <f t="shared" si="0"/>
        <v>0.48869219055841229</v>
      </c>
      <c r="C30">
        <f t="shared" si="1"/>
        <v>2.0650284313833263</v>
      </c>
      <c r="D30">
        <f t="shared" si="2"/>
        <v>0.31041959474204928</v>
      </c>
      <c r="E30" t="str">
        <f t="shared" si="3"/>
        <v>Да</v>
      </c>
    </row>
    <row r="31" spans="1:5" x14ac:dyDescent="0.25">
      <c r="A31">
        <v>29</v>
      </c>
      <c r="B31">
        <f t="shared" si="0"/>
        <v>0.50614548307835561</v>
      </c>
      <c r="C31">
        <f t="shared" si="1"/>
        <v>2.0071463082458481</v>
      </c>
      <c r="D31">
        <f t="shared" si="2"/>
        <v>0.34184949448832797</v>
      </c>
      <c r="E31" t="str">
        <f t="shared" si="3"/>
        <v>Да</v>
      </c>
    </row>
    <row r="32" spans="1:5" x14ac:dyDescent="0.25">
      <c r="A32">
        <v>30</v>
      </c>
      <c r="B32">
        <f t="shared" si="0"/>
        <v>0.52359877559829882</v>
      </c>
      <c r="C32">
        <f t="shared" si="1"/>
        <v>1.9485571585149875</v>
      </c>
      <c r="D32">
        <f t="shared" si="2"/>
        <v>0.37499999999999989</v>
      </c>
      <c r="E32" t="str">
        <f t="shared" si="3"/>
        <v>Да</v>
      </c>
    </row>
    <row r="33" spans="1:5" x14ac:dyDescent="0.25">
      <c r="A33">
        <v>31</v>
      </c>
      <c r="B33">
        <f t="shared" si="0"/>
        <v>0.54105206811824214</v>
      </c>
      <c r="C33">
        <f t="shared" si="1"/>
        <v>1.889374459397545</v>
      </c>
      <c r="D33">
        <f t="shared" si="2"/>
        <v>0.40986351748169148</v>
      </c>
      <c r="E33" t="str">
        <f t="shared" si="3"/>
        <v>Да</v>
      </c>
    </row>
    <row r="34" spans="1:5" x14ac:dyDescent="0.25">
      <c r="A34">
        <v>32</v>
      </c>
      <c r="B34">
        <f t="shared" si="0"/>
        <v>0.55850536063818546</v>
      </c>
      <c r="C34">
        <f t="shared" si="1"/>
        <v>1.8297118689012182</v>
      </c>
      <c r="D34">
        <f t="shared" si="2"/>
        <v>0.44642692299850606</v>
      </c>
      <c r="E34" t="str">
        <f t="shared" si="3"/>
        <v>Да</v>
      </c>
    </row>
    <row r="35" spans="1:5" x14ac:dyDescent="0.25">
      <c r="A35">
        <v>33</v>
      </c>
      <c r="B35">
        <f t="shared" si="0"/>
        <v>0.57595865315812877</v>
      </c>
      <c r="C35">
        <f t="shared" si="1"/>
        <v>1.7696829290970311</v>
      </c>
      <c r="D35">
        <f t="shared" si="2"/>
        <v>0.4846715733374577</v>
      </c>
      <c r="E35" t="str">
        <f t="shared" si="3"/>
        <v>Да</v>
      </c>
    </row>
    <row r="36" spans="1:5" x14ac:dyDescent="0.25">
      <c r="A36">
        <v>34</v>
      </c>
      <c r="B36">
        <f t="shared" si="0"/>
        <v>0.59341194567807209</v>
      </c>
      <c r="C36">
        <f t="shared" si="1"/>
        <v>1.7094007701355238</v>
      </c>
      <c r="D36">
        <f t="shared" si="2"/>
        <v>0.52457333225882641</v>
      </c>
      <c r="E36" t="str">
        <f t="shared" si="3"/>
        <v>Да</v>
      </c>
    </row>
    <row r="37" spans="1:5" x14ac:dyDescent="0.25">
      <c r="A37">
        <v>35</v>
      </c>
      <c r="B37">
        <f t="shared" si="0"/>
        <v>0.6108652381980153</v>
      </c>
      <c r="C37">
        <f t="shared" si="1"/>
        <v>1.6489778158233408</v>
      </c>
      <c r="D37">
        <f t="shared" si="2"/>
        <v>0.56610261207305235</v>
      </c>
      <c r="E37" t="str">
        <f t="shared" si="3"/>
        <v>Да</v>
      </c>
    </row>
    <row r="38" spans="1:5" x14ac:dyDescent="0.25">
      <c r="A38">
        <v>36</v>
      </c>
      <c r="B38">
        <f t="shared" si="0"/>
        <v>0.62831853071795862</v>
      </c>
      <c r="C38">
        <f t="shared" si="1"/>
        <v>1.5885254915624212</v>
      </c>
      <c r="D38">
        <f t="shared" si="2"/>
        <v>0.60922443043669938</v>
      </c>
      <c r="E38" t="str">
        <f t="shared" si="3"/>
        <v>Да</v>
      </c>
    </row>
    <row r="39" spans="1:5" x14ac:dyDescent="0.25">
      <c r="A39">
        <v>37</v>
      </c>
      <c r="B39">
        <f t="shared" si="0"/>
        <v>0.64577182323790194</v>
      </c>
      <c r="C39">
        <f t="shared" si="1"/>
        <v>1.5281539354474334</v>
      </c>
      <c r="D39">
        <f t="shared" si="2"/>
        <v>0.65389848221920732</v>
      </c>
      <c r="E39" t="str">
        <f t="shared" si="3"/>
        <v>Да</v>
      </c>
    </row>
    <row r="40" spans="1:5" x14ac:dyDescent="0.25">
      <c r="A40">
        <v>38</v>
      </c>
      <c r="B40">
        <f t="shared" si="0"/>
        <v>0.66322511575784526</v>
      </c>
      <c r="C40">
        <f t="shared" si="1"/>
        <v>1.4679717133082739</v>
      </c>
      <c r="D40">
        <f t="shared" si="2"/>
        <v>0.70007922625078045</v>
      </c>
      <c r="E40" t="str">
        <f t="shared" si="3"/>
        <v>Да</v>
      </c>
    </row>
    <row r="41" spans="1:5" x14ac:dyDescent="0.25">
      <c r="A41">
        <v>39</v>
      </c>
      <c r="B41">
        <f t="shared" si="0"/>
        <v>0.68067840827778847</v>
      </c>
      <c r="C41">
        <f t="shared" si="1"/>
        <v>1.4080855384735245</v>
      </c>
      <c r="D41">
        <f t="shared" si="2"/>
        <v>0.74771598672085815</v>
      </c>
      <c r="E41" t="str">
        <f t="shared" si="3"/>
        <v>Да</v>
      </c>
    </row>
    <row r="42" spans="1:5" x14ac:dyDescent="0.25">
      <c r="A42">
        <v>40</v>
      </c>
      <c r="B42">
        <f t="shared" si="0"/>
        <v>0.69813170079773179</v>
      </c>
      <c r="C42">
        <f t="shared" si="1"/>
        <v>1.3485999970177005</v>
      </c>
      <c r="D42">
        <f t="shared" si="2"/>
        <v>0.7967530689563842</v>
      </c>
      <c r="E42" t="str">
        <f t="shared" si="3"/>
        <v>Да</v>
      </c>
    </row>
    <row r="43" spans="1:5" x14ac:dyDescent="0.25">
      <c r="A43">
        <v>41</v>
      </c>
      <c r="B43">
        <f t="shared" si="0"/>
        <v>0.71558499331767511</v>
      </c>
      <c r="C43">
        <f t="shared" si="1"/>
        <v>1.2896172792399667</v>
      </c>
      <c r="D43">
        <f t="shared" si="2"/>
        <v>0.84712988926957333</v>
      </c>
      <c r="E43" t="str">
        <f t="shared" si="3"/>
        <v>Да</v>
      </c>
    </row>
    <row r="44" spans="1:5" x14ac:dyDescent="0.25">
      <c r="A44">
        <v>42</v>
      </c>
      <c r="B44">
        <f t="shared" si="0"/>
        <v>0.73303828583761843</v>
      </c>
      <c r="C44">
        <f t="shared" si="1"/>
        <v>1.2312369181047822</v>
      </c>
      <c r="D44">
        <f t="shared" si="2"/>
        <v>0.89878111852622045</v>
      </c>
      <c r="E44" t="str">
        <f t="shared" si="3"/>
        <v>Да</v>
      </c>
    </row>
    <row r="45" spans="1:5" x14ac:dyDescent="0.25">
      <c r="A45">
        <v>43</v>
      </c>
      <c r="B45">
        <f t="shared" si="0"/>
        <v>0.75049157835756175</v>
      </c>
      <c r="C45">
        <f t="shared" si="1"/>
        <v>1.1735555353557554</v>
      </c>
      <c r="D45">
        <f t="shared" si="2"/>
        <v>0.95163683904789331</v>
      </c>
      <c r="E45" t="str">
        <f t="shared" si="3"/>
        <v>Да</v>
      </c>
    </row>
    <row r="46" spans="1:5" x14ac:dyDescent="0.25">
      <c r="A46">
        <v>44</v>
      </c>
      <c r="B46">
        <f t="shared" si="0"/>
        <v>0.76794487087750496</v>
      </c>
      <c r="C46">
        <f t="shared" si="1"/>
        <v>1.1166665959928217</v>
      </c>
      <c r="D46">
        <f t="shared" si="2"/>
        <v>1.0056227144246981</v>
      </c>
      <c r="E46" t="str">
        <f t="shared" si="3"/>
        <v>Да</v>
      </c>
    </row>
    <row r="47" spans="1:5" x14ac:dyDescent="0.25">
      <c r="A47">
        <v>45</v>
      </c>
      <c r="B47">
        <f t="shared" si="0"/>
        <v>0.78539816339744828</v>
      </c>
      <c r="C47">
        <f t="shared" si="1"/>
        <v>1.0606601717798214</v>
      </c>
      <c r="D47">
        <f t="shared" si="2"/>
        <v>1.060660171779821</v>
      </c>
      <c r="E47" t="str">
        <f t="shared" si="3"/>
        <v>Да</v>
      </c>
    </row>
    <row r="48" spans="1:5" x14ac:dyDescent="0.25">
      <c r="A48">
        <v>46</v>
      </c>
      <c r="B48">
        <f t="shared" si="0"/>
        <v>0.8028514559173916</v>
      </c>
      <c r="C48">
        <f>3* (COS(B48))^3</f>
        <v>1.0056227144246981</v>
      </c>
      <c r="D48">
        <f t="shared" si="2"/>
        <v>1.116666595992821</v>
      </c>
      <c r="E48" t="str">
        <f t="shared" si="3"/>
        <v>Да</v>
      </c>
    </row>
    <row r="49" spans="1:5" x14ac:dyDescent="0.25">
      <c r="A49">
        <v>314</v>
      </c>
      <c r="B49">
        <f t="shared" ref="B49:B55" si="4" xml:space="preserve"> RADIANS(A49)</f>
        <v>5.4803338512621949</v>
      </c>
      <c r="C49">
        <f t="shared" ref="C49:C55" si="5">3* COS(B49)^3</f>
        <v>1.0056227144246981</v>
      </c>
      <c r="D49">
        <f t="shared" ref="D49:D55" si="6">3*SIN(B49)^3</f>
        <v>-1.1166665959928217</v>
      </c>
      <c r="E49" t="str">
        <f t="shared" ref="E49:E55" si="7" xml:space="preserve"> IF(C49&lt;1,"нет","Да")</f>
        <v>Да</v>
      </c>
    </row>
    <row r="50" spans="1:5" x14ac:dyDescent="0.25">
      <c r="A50">
        <v>315</v>
      </c>
      <c r="B50">
        <f t="shared" si="4"/>
        <v>5.497787143782138</v>
      </c>
      <c r="C50">
        <f t="shared" si="5"/>
        <v>1.0606601717798205</v>
      </c>
      <c r="D50">
        <f t="shared" si="6"/>
        <v>-1.0606601717798221</v>
      </c>
      <c r="E50" t="str">
        <f t="shared" si="7"/>
        <v>Да</v>
      </c>
    </row>
    <row r="51" spans="1:5" x14ac:dyDescent="0.25">
      <c r="A51">
        <v>316</v>
      </c>
      <c r="B51">
        <f t="shared" si="4"/>
        <v>5.5152404363020811</v>
      </c>
      <c r="C51">
        <f t="shared" si="5"/>
        <v>1.1166665959928204</v>
      </c>
      <c r="D51">
        <f t="shared" si="6"/>
        <v>-1.0056227144246994</v>
      </c>
      <c r="E51" t="str">
        <f t="shared" si="7"/>
        <v>Да</v>
      </c>
    </row>
    <row r="52" spans="1:5" x14ac:dyDescent="0.25">
      <c r="A52">
        <v>317</v>
      </c>
      <c r="B52">
        <f t="shared" si="4"/>
        <v>5.532693728822025</v>
      </c>
      <c r="C52">
        <f t="shared" si="5"/>
        <v>1.1735555353557565</v>
      </c>
      <c r="D52">
        <f t="shared" si="6"/>
        <v>-0.95163683904789242</v>
      </c>
      <c r="E52" t="str">
        <f t="shared" si="7"/>
        <v>Да</v>
      </c>
    </row>
    <row r="53" spans="1:5" x14ac:dyDescent="0.25">
      <c r="A53">
        <v>318</v>
      </c>
      <c r="B53">
        <f t="shared" si="4"/>
        <v>5.5501470213419681</v>
      </c>
      <c r="C53">
        <f t="shared" si="5"/>
        <v>1.2312369181047822</v>
      </c>
      <c r="D53">
        <f t="shared" si="6"/>
        <v>-0.89878111852622</v>
      </c>
      <c r="E53" t="str">
        <f t="shared" si="7"/>
        <v>Да</v>
      </c>
    </row>
    <row r="54" spans="1:5" x14ac:dyDescent="0.25">
      <c r="A54">
        <v>319</v>
      </c>
      <c r="B54">
        <f t="shared" si="4"/>
        <v>5.5676003138619112</v>
      </c>
      <c r="C54">
        <f t="shared" si="5"/>
        <v>1.2896172792399663</v>
      </c>
      <c r="D54">
        <f t="shared" si="6"/>
        <v>-0.84712988926957378</v>
      </c>
      <c r="E54" t="str">
        <f t="shared" si="7"/>
        <v>Да</v>
      </c>
    </row>
    <row r="55" spans="1:5" x14ac:dyDescent="0.25">
      <c r="A55">
        <v>320</v>
      </c>
      <c r="B55">
        <f t="shared" si="4"/>
        <v>5.5850536063818543</v>
      </c>
      <c r="C55">
        <f t="shared" si="5"/>
        <v>1.3485999970176992</v>
      </c>
      <c r="D55">
        <f t="shared" si="6"/>
        <v>-0.79675306895638554</v>
      </c>
      <c r="E55" t="str">
        <f t="shared" si="7"/>
        <v>Да</v>
      </c>
    </row>
    <row r="56" spans="1:5" x14ac:dyDescent="0.25">
      <c r="A56">
        <v>321</v>
      </c>
      <c r="B56">
        <f t="shared" ref="B56:B95" si="8" xml:space="preserve"> RADIANS(A56)</f>
        <v>5.6025068989017974</v>
      </c>
      <c r="C56">
        <f t="shared" ref="C56:C94" si="9">3* COS(B56)^3</f>
        <v>1.4080855384735227</v>
      </c>
      <c r="D56">
        <f t="shared" ref="D56:D94" si="10">3*SIN(B56)^3</f>
        <v>-0.7477159867208597</v>
      </c>
      <c r="E56" t="str">
        <f t="shared" ref="E56:E95" si="11" xml:space="preserve"> IF(C56&lt;1,"нет","Да")</f>
        <v>Да</v>
      </c>
    </row>
    <row r="57" spans="1:5" x14ac:dyDescent="0.25">
      <c r="A57">
        <v>322</v>
      </c>
      <c r="B57">
        <f t="shared" si="8"/>
        <v>5.6199601914217414</v>
      </c>
      <c r="C57">
        <f t="shared" si="9"/>
        <v>1.4679717133082744</v>
      </c>
      <c r="D57">
        <f t="shared" si="10"/>
        <v>-0.70007922625078023</v>
      </c>
      <c r="E57" t="str">
        <f t="shared" si="11"/>
        <v>Да</v>
      </c>
    </row>
    <row r="58" spans="1:5" x14ac:dyDescent="0.25">
      <c r="A58">
        <v>323</v>
      </c>
      <c r="B58">
        <f t="shared" si="8"/>
        <v>5.6374134839416845</v>
      </c>
      <c r="C58">
        <f t="shared" si="9"/>
        <v>1.5281539354474334</v>
      </c>
      <c r="D58">
        <f t="shared" si="10"/>
        <v>-0.65389848221920732</v>
      </c>
      <c r="E58" t="str">
        <f t="shared" si="11"/>
        <v>Да</v>
      </c>
    </row>
    <row r="59" spans="1:5" x14ac:dyDescent="0.25">
      <c r="A59">
        <v>324</v>
      </c>
      <c r="B59">
        <f t="shared" si="8"/>
        <v>5.6548667764616276</v>
      </c>
      <c r="C59">
        <f t="shared" si="9"/>
        <v>1.5885254915624207</v>
      </c>
      <c r="D59">
        <f t="shared" si="10"/>
        <v>-0.60922443043670005</v>
      </c>
      <c r="E59" t="str">
        <f t="shared" si="11"/>
        <v>Да</v>
      </c>
    </row>
    <row r="60" spans="1:5" x14ac:dyDescent="0.25">
      <c r="A60">
        <v>325</v>
      </c>
      <c r="B60">
        <f t="shared" si="8"/>
        <v>5.6723200689815707</v>
      </c>
      <c r="C60">
        <f t="shared" si="9"/>
        <v>1.6489778158233395</v>
      </c>
      <c r="D60">
        <f t="shared" si="10"/>
        <v>-0.56610261207305368</v>
      </c>
      <c r="E60" t="str">
        <f t="shared" si="11"/>
        <v>Да</v>
      </c>
    </row>
    <row r="61" spans="1:5" x14ac:dyDescent="0.25">
      <c r="A61">
        <v>326</v>
      </c>
      <c r="B61">
        <f t="shared" si="8"/>
        <v>5.6897733615015147</v>
      </c>
      <c r="C61">
        <f t="shared" si="9"/>
        <v>1.7094007701355252</v>
      </c>
      <c r="D61">
        <f t="shared" si="10"/>
        <v>-0.52457333225882541</v>
      </c>
      <c r="E61" t="str">
        <f t="shared" si="11"/>
        <v>Да</v>
      </c>
    </row>
    <row r="62" spans="1:5" x14ac:dyDescent="0.25">
      <c r="A62">
        <v>327</v>
      </c>
      <c r="B62">
        <f t="shared" si="8"/>
        <v>5.7072266540214578</v>
      </c>
      <c r="C62">
        <f t="shared" si="9"/>
        <v>1.7696829290970311</v>
      </c>
      <c r="D62">
        <f t="shared" si="10"/>
        <v>-0.48467157333745725</v>
      </c>
      <c r="E62" t="str">
        <f t="shared" si="11"/>
        <v>Да</v>
      </c>
    </row>
    <row r="63" spans="1:5" x14ac:dyDescent="0.25">
      <c r="A63">
        <v>328</v>
      </c>
      <c r="B63">
        <f t="shared" si="8"/>
        <v>5.7246799465414009</v>
      </c>
      <c r="C63">
        <f t="shared" si="9"/>
        <v>1.8297118689012182</v>
      </c>
      <c r="D63">
        <f t="shared" si="10"/>
        <v>-0.44642692299850628</v>
      </c>
      <c r="E63" t="str">
        <f t="shared" si="11"/>
        <v>Да</v>
      </c>
    </row>
    <row r="64" spans="1:5" x14ac:dyDescent="0.25">
      <c r="A64">
        <v>329</v>
      </c>
      <c r="B64">
        <f t="shared" si="8"/>
        <v>5.742133239061344</v>
      </c>
      <c r="C64">
        <f t="shared" si="9"/>
        <v>1.8893744593975434</v>
      </c>
      <c r="D64">
        <f t="shared" si="10"/>
        <v>-0.40986351748169225</v>
      </c>
      <c r="E64" t="str">
        <f t="shared" si="11"/>
        <v>Да</v>
      </c>
    </row>
    <row r="65" spans="1:5" x14ac:dyDescent="0.25">
      <c r="A65">
        <v>330</v>
      </c>
      <c r="B65">
        <f t="shared" si="8"/>
        <v>5.7595865315812871</v>
      </c>
      <c r="C65">
        <f t="shared" si="9"/>
        <v>1.9485571585149852</v>
      </c>
      <c r="D65">
        <f t="shared" si="10"/>
        <v>-0.375000000000001</v>
      </c>
      <c r="E65" t="str">
        <f t="shared" si="11"/>
        <v>Да</v>
      </c>
    </row>
    <row r="66" spans="1:5" x14ac:dyDescent="0.25">
      <c r="A66">
        <v>331</v>
      </c>
      <c r="B66">
        <f t="shared" si="8"/>
        <v>5.7770398241012311</v>
      </c>
      <c r="C66">
        <f t="shared" si="9"/>
        <v>2.0071463082458489</v>
      </c>
      <c r="D66">
        <f t="shared" si="10"/>
        <v>-0.34184949448832758</v>
      </c>
      <c r="E66" t="str">
        <f t="shared" si="11"/>
        <v>Да</v>
      </c>
    </row>
    <row r="67" spans="1:5" x14ac:dyDescent="0.25">
      <c r="A67">
        <v>332</v>
      </c>
      <c r="B67">
        <f t="shared" si="8"/>
        <v>5.7944931166211742</v>
      </c>
      <c r="C67">
        <f t="shared" si="9"/>
        <v>2.0650284313833254</v>
      </c>
      <c r="D67">
        <f t="shared" si="10"/>
        <v>-0.31041959474204928</v>
      </c>
      <c r="E67" t="str">
        <f t="shared" si="11"/>
        <v>Да</v>
      </c>
    </row>
    <row r="68" spans="1:5" x14ac:dyDescent="0.25">
      <c r="A68">
        <v>333</v>
      </c>
      <c r="B68">
        <f t="shared" si="8"/>
        <v>5.8119464091411173</v>
      </c>
      <c r="C68">
        <f t="shared" si="9"/>
        <v>2.1220905282040001</v>
      </c>
      <c r="D68">
        <f t="shared" si="10"/>
        <v>-0.2807123689676273</v>
      </c>
      <c r="E68" t="str">
        <f t="shared" si="11"/>
        <v>Да</v>
      </c>
    </row>
    <row r="69" spans="1:5" x14ac:dyDescent="0.25">
      <c r="A69">
        <v>334</v>
      </c>
      <c r="B69">
        <f t="shared" si="8"/>
        <v>5.8293997016610604</v>
      </c>
      <c r="C69">
        <f t="shared" si="9"/>
        <v>2.1782203722864439</v>
      </c>
      <c r="D69">
        <f t="shared" si="10"/>
        <v>-0.25272437972507061</v>
      </c>
      <c r="E69" t="str">
        <f t="shared" si="11"/>
        <v>Да</v>
      </c>
    </row>
    <row r="70" spans="1:5" x14ac:dyDescent="0.25">
      <c r="A70">
        <v>335</v>
      </c>
      <c r="B70">
        <f t="shared" si="8"/>
        <v>5.8468529941810043</v>
      </c>
      <c r="C70">
        <f t="shared" si="9"/>
        <v>2.2333068046593541</v>
      </c>
      <c r="D70">
        <f t="shared" si="10"/>
        <v>-0.22644671919977216</v>
      </c>
      <c r="E70" t="str">
        <f t="shared" si="11"/>
        <v>Да</v>
      </c>
    </row>
    <row r="71" spans="1:5" x14ac:dyDescent="0.25">
      <c r="A71">
        <v>336</v>
      </c>
      <c r="B71">
        <f t="shared" si="8"/>
        <v>5.8643062867009474</v>
      </c>
      <c r="C71">
        <f t="shared" si="9"/>
        <v>2.2872400254770633</v>
      </c>
      <c r="D71">
        <f t="shared" si="10"/>
        <v>-0.2018650596991852</v>
      </c>
      <c r="E71" t="str">
        <f t="shared" si="11"/>
        <v>Да</v>
      </c>
    </row>
    <row r="72" spans="1:5" x14ac:dyDescent="0.25">
      <c r="A72">
        <v>337</v>
      </c>
      <c r="B72">
        <f t="shared" si="8"/>
        <v>5.8817595792208905</v>
      </c>
      <c r="C72">
        <f t="shared" si="9"/>
        <v>2.3399118824269656</v>
      </c>
      <c r="D72">
        <f t="shared" si="10"/>
        <v>-0.1789597192279648</v>
      </c>
      <c r="E72" t="str">
        <f t="shared" si="11"/>
        <v>Да</v>
      </c>
    </row>
    <row r="73" spans="1:5" x14ac:dyDescent="0.25">
      <c r="A73">
        <v>338</v>
      </c>
      <c r="B73">
        <f t="shared" si="8"/>
        <v>5.8992128717408336</v>
      </c>
      <c r="C73">
        <f t="shared" si="9"/>
        <v>2.3912161550821214</v>
      </c>
      <c r="D73">
        <f t="shared" si="10"/>
        <v>-0.15770574195385179</v>
      </c>
      <c r="E73" t="str">
        <f t="shared" si="11"/>
        <v>Да</v>
      </c>
    </row>
    <row r="74" spans="1:5" x14ac:dyDescent="0.25">
      <c r="A74">
        <v>339</v>
      </c>
      <c r="B74">
        <f t="shared" si="8"/>
        <v>5.9166661642607767</v>
      </c>
      <c r="C74">
        <f t="shared" si="9"/>
        <v>2.4410488344233618</v>
      </c>
      <c r="D74">
        <f t="shared" si="10"/>
        <v>-0.13807299333565029</v>
      </c>
      <c r="E74" t="str">
        <f t="shared" si="11"/>
        <v>Да</v>
      </c>
    </row>
    <row r="75" spans="1:5" x14ac:dyDescent="0.25">
      <c r="A75">
        <v>340</v>
      </c>
      <c r="B75">
        <f t="shared" si="8"/>
        <v>5.9341194567807207</v>
      </c>
      <c r="C75">
        <f t="shared" si="9"/>
        <v>2.4893083967682941</v>
      </c>
      <c r="D75">
        <f t="shared" si="10"/>
        <v>-0.12002626964442553</v>
      </c>
      <c r="E75" t="str">
        <f t="shared" si="11"/>
        <v>Да</v>
      </c>
    </row>
    <row r="76" spans="1:5" x14ac:dyDescent="0.25">
      <c r="A76">
        <v>341</v>
      </c>
      <c r="B76">
        <f t="shared" si="8"/>
        <v>5.9515727493006638</v>
      </c>
      <c r="C76">
        <f t="shared" si="9"/>
        <v>2.5358960713597334</v>
      </c>
      <c r="D76">
        <f t="shared" si="10"/>
        <v>-0.10352542156953451</v>
      </c>
      <c r="E76" t="str">
        <f t="shared" si="11"/>
        <v>Да</v>
      </c>
    </row>
    <row r="77" spans="1:5" x14ac:dyDescent="0.25">
      <c r="A77">
        <v>342</v>
      </c>
      <c r="B77">
        <f t="shared" si="8"/>
        <v>5.9690260418206069</v>
      </c>
      <c r="C77">
        <f t="shared" si="9"/>
        <v>2.5807161008834498</v>
      </c>
      <c r="D77">
        <f t="shared" si="10"/>
        <v>-8.8525491562421316E-2</v>
      </c>
      <c r="E77" t="str">
        <f t="shared" si="11"/>
        <v>Да</v>
      </c>
    </row>
    <row r="78" spans="1:5" x14ac:dyDescent="0.25">
      <c r="A78">
        <v>343</v>
      </c>
      <c r="B78">
        <f t="shared" si="8"/>
        <v>5.98647933434055</v>
      </c>
      <c r="C78">
        <f t="shared" si="9"/>
        <v>2.6236759942042065</v>
      </c>
      <c r="D78">
        <f t="shared" si="10"/>
        <v>-7.4976864533429818E-2</v>
      </c>
      <c r="E78" t="str">
        <f t="shared" si="11"/>
        <v>Да</v>
      </c>
    </row>
    <row r="79" spans="1:5" x14ac:dyDescent="0.25">
      <c r="A79">
        <v>344</v>
      </c>
      <c r="B79">
        <f t="shared" si="8"/>
        <v>6.003932626860494</v>
      </c>
      <c r="C79">
        <f t="shared" si="9"/>
        <v>2.664686770630361</v>
      </c>
      <c r="D79">
        <f t="shared" si="10"/>
        <v>-6.2825431480202337E-2</v>
      </c>
      <c r="E79" t="str">
        <f t="shared" si="11"/>
        <v>Да</v>
      </c>
    </row>
    <row r="80" spans="1:5" x14ac:dyDescent="0.25">
      <c r="A80">
        <v>345</v>
      </c>
      <c r="B80">
        <f t="shared" si="8"/>
        <v>6.0213859193804371</v>
      </c>
      <c r="C80">
        <f t="shared" si="9"/>
        <v>2.7036631950403147</v>
      </c>
      <c r="D80">
        <f t="shared" si="10"/>
        <v>-5.2012765590761026E-2</v>
      </c>
      <c r="E80" t="str">
        <f t="shared" si="11"/>
        <v>Да</v>
      </c>
    </row>
    <row r="81" spans="1:5" x14ac:dyDescent="0.25">
      <c r="A81">
        <v>346</v>
      </c>
      <c r="B81">
        <f t="shared" si="8"/>
        <v>6.0388392119003802</v>
      </c>
      <c r="C81">
        <f t="shared" si="9"/>
        <v>2.7405240032290377</v>
      </c>
      <c r="D81">
        <f t="shared" si="10"/>
        <v>-4.2476310330108791E-2</v>
      </c>
      <c r="E81" t="str">
        <f t="shared" si="11"/>
        <v>Да</v>
      </c>
    </row>
    <row r="82" spans="1:5" x14ac:dyDescent="0.25">
      <c r="A82">
        <v>347</v>
      </c>
      <c r="B82">
        <f t="shared" si="8"/>
        <v>6.0562925044203233</v>
      </c>
      <c r="C82">
        <f t="shared" si="9"/>
        <v>2.7751921168595066</v>
      </c>
      <c r="D82">
        <f t="shared" si="10"/>
        <v>-3.4149578986318305E-2</v>
      </c>
      <c r="E82" t="str">
        <f t="shared" si="11"/>
        <v>Да</v>
      </c>
    </row>
    <row r="83" spans="1:5" x14ac:dyDescent="0.25">
      <c r="A83">
        <v>348</v>
      </c>
      <c r="B83">
        <f t="shared" si="8"/>
        <v>6.0737457969402664</v>
      </c>
      <c r="C83">
        <f t="shared" si="9"/>
        <v>2.8075948474322727</v>
      </c>
      <c r="D83">
        <f t="shared" si="10"/>
        <v>-2.6962365120603869E-2</v>
      </c>
      <c r="E83" t="str">
        <f t="shared" si="11"/>
        <v>Да</v>
      </c>
    </row>
    <row r="84" spans="1:5" x14ac:dyDescent="0.25">
      <c r="A84">
        <v>349</v>
      </c>
      <c r="B84">
        <f t="shared" si="8"/>
        <v>6.0911990894602104</v>
      </c>
      <c r="C84">
        <f t="shared" si="9"/>
        <v>2.8376640887163123</v>
      </c>
      <c r="D84">
        <f t="shared" si="10"/>
        <v>-2.0840963335955469E-2</v>
      </c>
      <c r="E84" t="str">
        <f t="shared" si="11"/>
        <v>Да</v>
      </c>
    </row>
    <row r="85" spans="1:5" x14ac:dyDescent="0.25">
      <c r="A85">
        <v>350</v>
      </c>
      <c r="B85">
        <f t="shared" si="8"/>
        <v>6.1086523819801535</v>
      </c>
      <c r="C85">
        <f t="shared" si="9"/>
        <v>2.8653364971157966</v>
      </c>
      <c r="D85">
        <f t="shared" si="10"/>
        <v>-1.5708399750593294E-2</v>
      </c>
      <c r="E85" t="str">
        <f t="shared" si="11"/>
        <v>Да</v>
      </c>
    </row>
    <row r="86" spans="1:5" x14ac:dyDescent="0.25">
      <c r="A86">
        <v>351</v>
      </c>
      <c r="B86">
        <f t="shared" si="8"/>
        <v>6.1261056745000966</v>
      </c>
      <c r="C86">
        <f t="shared" si="9"/>
        <v>2.8905536594803349</v>
      </c>
      <c r="D86">
        <f t="shared" si="10"/>
        <v>-1.1484671535859418E-2</v>
      </c>
      <c r="E86" t="str">
        <f t="shared" si="11"/>
        <v>Да</v>
      </c>
    </row>
    <row r="87" spans="1:5" x14ac:dyDescent="0.25">
      <c r="A87">
        <v>352</v>
      </c>
      <c r="B87">
        <f t="shared" si="8"/>
        <v>6.1435589670200397</v>
      </c>
      <c r="C87">
        <f t="shared" si="9"/>
        <v>2.9132622479004833</v>
      </c>
      <c r="D87">
        <f t="shared" si="10"/>
        <v>-8.0869948532971692E-3</v>
      </c>
      <c r="E87" t="str">
        <f t="shared" si="11"/>
        <v>Да</v>
      </c>
    </row>
    <row r="88" spans="1:5" x14ac:dyDescent="0.25">
      <c r="A88">
        <v>353</v>
      </c>
      <c r="B88">
        <f t="shared" si="8"/>
        <v>6.1610122595399837</v>
      </c>
      <c r="C88">
        <f t="shared" si="9"/>
        <v>2.9334141610658766</v>
      </c>
      <c r="D88">
        <f t="shared" si="10"/>
        <v>-5.4300605026065931E-3</v>
      </c>
      <c r="E88" t="str">
        <f t="shared" si="11"/>
        <v>Да</v>
      </c>
    </row>
    <row r="89" spans="1:5" x14ac:dyDescent="0.25">
      <c r="A89">
        <v>354</v>
      </c>
      <c r="B89">
        <f t="shared" si="8"/>
        <v>6.1784655520599268</v>
      </c>
      <c r="C89">
        <f t="shared" si="9"/>
        <v>2.9509666517999795</v>
      </c>
      <c r="D89">
        <f t="shared" si="10"/>
        <v>-3.4262965710097374E-3</v>
      </c>
      <c r="E89" t="str">
        <f t="shared" si="11"/>
        <v>Да</v>
      </c>
    </row>
    <row r="90" spans="1:5" x14ac:dyDescent="0.25">
      <c r="A90">
        <v>355</v>
      </c>
      <c r="B90">
        <f t="shared" si="8"/>
        <v>6.1959188445798699</v>
      </c>
      <c r="C90">
        <f t="shared" si="9"/>
        <v>2.9658824404232287</v>
      </c>
      <c r="D90">
        <f t="shared" si="10"/>
        <v>-1.9861373553403286E-3</v>
      </c>
      <c r="E90" t="str">
        <f t="shared" si="11"/>
        <v>Да</v>
      </c>
    </row>
    <row r="91" spans="1:5" x14ac:dyDescent="0.25">
      <c r="A91">
        <v>356</v>
      </c>
      <c r="B91">
        <f t="shared" si="8"/>
        <v>6.213372137099813</v>
      </c>
      <c r="C91">
        <f t="shared" si="9"/>
        <v>2.9781298136349581</v>
      </c>
      <c r="D91">
        <f t="shared" si="10"/>
        <v>-1.0182978109624387E-3</v>
      </c>
      <c r="E91" t="str">
        <f t="shared" si="11"/>
        <v>Да</v>
      </c>
    </row>
    <row r="92" spans="1:5" x14ac:dyDescent="0.25">
      <c r="A92">
        <v>357</v>
      </c>
      <c r="B92">
        <f t="shared" si="8"/>
        <v>6.2308254296197561</v>
      </c>
      <c r="C92">
        <f t="shared" si="9"/>
        <v>2.9876827086441438</v>
      </c>
      <c r="D92">
        <f t="shared" si="10"/>
        <v>-4.3005276645048511E-4</v>
      </c>
      <c r="E92" t="str">
        <f t="shared" si="11"/>
        <v>Да</v>
      </c>
    </row>
    <row r="93" spans="1:5" x14ac:dyDescent="0.25">
      <c r="A93">
        <v>358</v>
      </c>
      <c r="B93">
        <f t="shared" si="8"/>
        <v>6.2482787221397</v>
      </c>
      <c r="C93">
        <f t="shared" si="9"/>
        <v>2.9945207823191708</v>
      </c>
      <c r="D93">
        <f t="shared" si="10"/>
        <v>-1.2752012988708102E-4</v>
      </c>
      <c r="E93" t="str">
        <f t="shared" si="11"/>
        <v>Да</v>
      </c>
    </row>
    <row r="94" spans="1:5" x14ac:dyDescent="0.25">
      <c r="A94">
        <v>359</v>
      </c>
      <c r="B94">
        <f t="shared" si="8"/>
        <v>6.2657320146596431</v>
      </c>
      <c r="C94">
        <f t="shared" si="9"/>
        <v>2.9986294651678111</v>
      </c>
      <c r="D94">
        <f t="shared" si="10"/>
        <v>-1.5947301680029433E-5</v>
      </c>
      <c r="E94" t="str">
        <f t="shared" si="11"/>
        <v>Да</v>
      </c>
    </row>
    <row r="95" spans="1:5" x14ac:dyDescent="0.25">
      <c r="A95">
        <v>360</v>
      </c>
      <c r="B95">
        <f t="shared" si="8"/>
        <v>6.2831853071795862</v>
      </c>
      <c r="C95">
        <f>3* COS(B95)^3</f>
        <v>3</v>
      </c>
      <c r="D95">
        <f>3*SIN(B95)^3</f>
        <v>-4.4134416754507814E-47</v>
      </c>
      <c r="E95" t="str">
        <f t="shared" si="11"/>
        <v>Да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F308-BA64-425B-8520-9ECFDF2A3DD7}">
  <dimension ref="A1:B21"/>
  <sheetViews>
    <sheetView zoomScale="69" workbookViewId="0">
      <selection activeCell="G17" sqref="G17"/>
    </sheetView>
  </sheetViews>
  <sheetFormatPr defaultRowHeight="15" x14ac:dyDescent="0.25"/>
  <sheetData>
    <row r="1" spans="1:2" x14ac:dyDescent="0.25">
      <c r="A1">
        <f>-0.5</f>
        <v>-0.5</v>
      </c>
      <c r="B1">
        <f>LN(1-A1^2)</f>
        <v>-0.2876820724517809</v>
      </c>
    </row>
    <row r="2" spans="1:2" x14ac:dyDescent="0.25">
      <c r="A2">
        <v>-0.45</v>
      </c>
      <c r="B2">
        <f t="shared" ref="B2:B21" si="0">LN(1-A2^2)</f>
        <v>-0.22627344432313742</v>
      </c>
    </row>
    <row r="3" spans="1:2" x14ac:dyDescent="0.25">
      <c r="A3">
        <f>-0.4</f>
        <v>-0.4</v>
      </c>
      <c r="B3">
        <f>LN(1-A3^2)</f>
        <v>-0.1743533871447778</v>
      </c>
    </row>
    <row r="4" spans="1:2" x14ac:dyDescent="0.25">
      <c r="A4">
        <f>-0.35</f>
        <v>-0.35</v>
      </c>
      <c r="B4">
        <f t="shared" si="0"/>
        <v>-0.13067832364211612</v>
      </c>
    </row>
    <row r="5" spans="1:2" x14ac:dyDescent="0.25">
      <c r="A5">
        <v>-0.3</v>
      </c>
      <c r="B5">
        <f t="shared" si="0"/>
        <v>-9.431067947124129E-2</v>
      </c>
    </row>
    <row r="6" spans="1:2" x14ac:dyDescent="0.25">
      <c r="A6">
        <v>-0.25</v>
      </c>
      <c r="B6">
        <f t="shared" si="0"/>
        <v>-6.4538521137571178E-2</v>
      </c>
    </row>
    <row r="7" spans="1:2" x14ac:dyDescent="0.25">
      <c r="A7">
        <v>-0.2</v>
      </c>
      <c r="B7">
        <f t="shared" si="0"/>
        <v>-4.0821994520255166E-2</v>
      </c>
    </row>
    <row r="8" spans="1:2" x14ac:dyDescent="0.25">
      <c r="A8">
        <v>-0.15</v>
      </c>
      <c r="B8">
        <f t="shared" si="0"/>
        <v>-2.275698712261618E-2</v>
      </c>
    </row>
    <row r="9" spans="1:2" x14ac:dyDescent="0.25">
      <c r="A9">
        <v>-0.1</v>
      </c>
      <c r="B9">
        <f t="shared" si="0"/>
        <v>-1.0050335853501451E-2</v>
      </c>
    </row>
    <row r="10" spans="1:2" x14ac:dyDescent="0.25">
      <c r="A10">
        <v>-0.05</v>
      </c>
      <c r="B10">
        <f t="shared" si="0"/>
        <v>-2.503130218118477E-3</v>
      </c>
    </row>
    <row r="11" spans="1:2" x14ac:dyDescent="0.25">
      <c r="A11">
        <v>0</v>
      </c>
      <c r="B11">
        <f t="shared" si="0"/>
        <v>0</v>
      </c>
    </row>
    <row r="12" spans="1:2" x14ac:dyDescent="0.25">
      <c r="A12">
        <v>0.05</v>
      </c>
      <c r="B12">
        <f t="shared" si="0"/>
        <v>-2.503130218118477E-3</v>
      </c>
    </row>
    <row r="13" spans="1:2" x14ac:dyDescent="0.25">
      <c r="A13">
        <v>0.1</v>
      </c>
      <c r="B13">
        <f t="shared" si="0"/>
        <v>-1.0050335853501451E-2</v>
      </c>
    </row>
    <row r="14" spans="1:2" x14ac:dyDescent="0.25">
      <c r="A14">
        <v>0.15</v>
      </c>
      <c r="B14">
        <f t="shared" si="0"/>
        <v>-2.275698712261618E-2</v>
      </c>
    </row>
    <row r="15" spans="1:2" x14ac:dyDescent="0.25">
      <c r="A15">
        <v>0.2</v>
      </c>
      <c r="B15">
        <f t="shared" si="0"/>
        <v>-4.0821994520255166E-2</v>
      </c>
    </row>
    <row r="16" spans="1:2" x14ac:dyDescent="0.25">
      <c r="A16">
        <v>0.25</v>
      </c>
      <c r="B16">
        <f t="shared" si="0"/>
        <v>-6.4538521137571178E-2</v>
      </c>
    </row>
    <row r="17" spans="1:2" x14ac:dyDescent="0.25">
      <c r="A17">
        <v>0.3</v>
      </c>
      <c r="B17">
        <f t="shared" si="0"/>
        <v>-9.431067947124129E-2</v>
      </c>
    </row>
    <row r="18" spans="1:2" x14ac:dyDescent="0.25">
      <c r="A18">
        <v>0.35</v>
      </c>
      <c r="B18">
        <f t="shared" si="0"/>
        <v>-0.13067832364211612</v>
      </c>
    </row>
    <row r="19" spans="1:2" x14ac:dyDescent="0.25">
      <c r="A19">
        <v>0.4</v>
      </c>
      <c r="B19">
        <f t="shared" si="0"/>
        <v>-0.1743533871447778</v>
      </c>
    </row>
    <row r="20" spans="1:2" x14ac:dyDescent="0.25">
      <c r="A20">
        <v>0.45</v>
      </c>
      <c r="B20">
        <f>LN(1-A20^2)</f>
        <v>-0.22627344432313742</v>
      </c>
    </row>
    <row r="21" spans="1:2" x14ac:dyDescent="0.25">
      <c r="A21">
        <v>0.5</v>
      </c>
      <c r="B21">
        <f t="shared" si="0"/>
        <v>-0.2876820724517809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3CFE-494E-4743-9EA4-ED191F08406F}">
  <dimension ref="A1:G20"/>
  <sheetViews>
    <sheetView tabSelected="1" workbookViewId="0">
      <selection activeCell="D21" sqref="D21:N2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12</v>
      </c>
      <c r="E1" t="s">
        <v>0</v>
      </c>
      <c r="F1" t="s">
        <v>13</v>
      </c>
    </row>
    <row r="2" spans="1:7" x14ac:dyDescent="0.25">
      <c r="E2">
        <v>0</v>
      </c>
      <c r="F2">
        <f>SQRT(16 - A4)*-1</f>
        <v>-4</v>
      </c>
      <c r="G2">
        <v>0</v>
      </c>
    </row>
    <row r="3" spans="1:7" x14ac:dyDescent="0.25">
      <c r="E3">
        <v>1</v>
      </c>
      <c r="F3">
        <f t="shared" ref="F3:F18" si="0">SQRT(16 - A5)*-1</f>
        <v>-3.872983346207417</v>
      </c>
      <c r="G3">
        <v>0</v>
      </c>
    </row>
    <row r="4" spans="1:7" x14ac:dyDescent="0.25">
      <c r="A4">
        <v>0</v>
      </c>
      <c r="B4">
        <f>SQRT(16 - A4)</f>
        <v>4</v>
      </c>
      <c r="C4">
        <v>0</v>
      </c>
      <c r="E4">
        <v>2</v>
      </c>
      <c r="F4">
        <f t="shared" si="0"/>
        <v>-3.7416573867739413</v>
      </c>
      <c r="G4">
        <v>0</v>
      </c>
    </row>
    <row r="5" spans="1:7" x14ac:dyDescent="0.25">
      <c r="A5">
        <v>1</v>
      </c>
      <c r="B5">
        <f>SQRT(16 - A5)</f>
        <v>3.872983346207417</v>
      </c>
      <c r="C5">
        <v>0</v>
      </c>
      <c r="E5">
        <v>3</v>
      </c>
      <c r="F5">
        <f t="shared" si="0"/>
        <v>-3.6055512754639891</v>
      </c>
      <c r="G5">
        <v>0</v>
      </c>
    </row>
    <row r="6" spans="1:7" x14ac:dyDescent="0.25">
      <c r="A6">
        <v>2</v>
      </c>
      <c r="B6">
        <f>SQRT(16 - A6)</f>
        <v>3.7416573867739413</v>
      </c>
      <c r="C6">
        <v>0</v>
      </c>
      <c r="E6">
        <v>4</v>
      </c>
      <c r="F6">
        <f t="shared" si="0"/>
        <v>-3.4641016151377544</v>
      </c>
      <c r="G6">
        <v>0</v>
      </c>
    </row>
    <row r="7" spans="1:7" x14ac:dyDescent="0.25">
      <c r="A7">
        <v>3</v>
      </c>
      <c r="B7">
        <f>SQRT(16 - A7)</f>
        <v>3.6055512754639891</v>
      </c>
      <c r="C7">
        <v>0</v>
      </c>
      <c r="E7">
        <v>5</v>
      </c>
      <c r="F7">
        <f t="shared" si="0"/>
        <v>-3.3166247903553998</v>
      </c>
      <c r="G7">
        <v>0</v>
      </c>
    </row>
    <row r="8" spans="1:7" x14ac:dyDescent="0.25">
      <c r="A8">
        <v>4</v>
      </c>
      <c r="B8">
        <f>SQRT(16 - A8)</f>
        <v>3.4641016151377544</v>
      </c>
      <c r="C8">
        <v>0</v>
      </c>
      <c r="E8">
        <v>6</v>
      </c>
      <c r="F8">
        <f t="shared" si="0"/>
        <v>-3.1622776601683795</v>
      </c>
      <c r="G8">
        <v>0</v>
      </c>
    </row>
    <row r="9" spans="1:7" x14ac:dyDescent="0.25">
      <c r="A9">
        <v>5</v>
      </c>
      <c r="B9">
        <f>SQRT(16 - A9)</f>
        <v>3.3166247903553998</v>
      </c>
      <c r="C9">
        <v>0</v>
      </c>
      <c r="E9">
        <v>7</v>
      </c>
      <c r="F9">
        <f t="shared" si="0"/>
        <v>-3</v>
      </c>
      <c r="G9">
        <v>0</v>
      </c>
    </row>
    <row r="10" spans="1:7" x14ac:dyDescent="0.25">
      <c r="A10">
        <v>6</v>
      </c>
      <c r="B10">
        <f>SQRT(16 - A10)</f>
        <v>3.1622776601683795</v>
      </c>
      <c r="C10">
        <v>0</v>
      </c>
      <c r="E10">
        <v>8</v>
      </c>
      <c r="F10">
        <f t="shared" si="0"/>
        <v>-2.8284271247461903</v>
      </c>
      <c r="G10">
        <v>0</v>
      </c>
    </row>
    <row r="11" spans="1:7" x14ac:dyDescent="0.25">
      <c r="A11">
        <v>7</v>
      </c>
      <c r="B11">
        <f>SQRT(16 - A11)</f>
        <v>3</v>
      </c>
      <c r="C11">
        <v>0</v>
      </c>
      <c r="E11">
        <v>9</v>
      </c>
      <c r="F11">
        <f t="shared" si="0"/>
        <v>-2.6457513110645907</v>
      </c>
      <c r="G11">
        <v>0</v>
      </c>
    </row>
    <row r="12" spans="1:7" x14ac:dyDescent="0.25">
      <c r="A12">
        <v>8</v>
      </c>
      <c r="B12">
        <f>SQRT(16 - A12)</f>
        <v>2.8284271247461903</v>
      </c>
      <c r="C12">
        <v>0</v>
      </c>
      <c r="E12">
        <v>10</v>
      </c>
      <c r="F12">
        <f t="shared" si="0"/>
        <v>-2.4494897427831779</v>
      </c>
      <c r="G12">
        <v>0</v>
      </c>
    </row>
    <row r="13" spans="1:7" x14ac:dyDescent="0.25">
      <c r="A13">
        <v>9</v>
      </c>
      <c r="B13">
        <f>SQRT(16 - A13)</f>
        <v>2.6457513110645907</v>
      </c>
      <c r="C13">
        <v>0</v>
      </c>
      <c r="E13">
        <v>11</v>
      </c>
      <c r="F13">
        <f t="shared" si="0"/>
        <v>-2.2360679774997898</v>
      </c>
      <c r="G13">
        <v>0</v>
      </c>
    </row>
    <row r="14" spans="1:7" x14ac:dyDescent="0.25">
      <c r="A14">
        <v>10</v>
      </c>
      <c r="B14">
        <f>SQRT(16 - A14)</f>
        <v>2.4494897427831779</v>
      </c>
      <c r="C14">
        <v>0</v>
      </c>
      <c r="E14">
        <v>12</v>
      </c>
      <c r="F14">
        <f t="shared" si="0"/>
        <v>-2</v>
      </c>
      <c r="G14">
        <v>0</v>
      </c>
    </row>
    <row r="15" spans="1:7" x14ac:dyDescent="0.25">
      <c r="A15">
        <v>11</v>
      </c>
      <c r="B15">
        <f>SQRT(16 - A15)</f>
        <v>2.2360679774997898</v>
      </c>
      <c r="C15">
        <v>0</v>
      </c>
      <c r="E15">
        <v>13</v>
      </c>
      <c r="F15">
        <f t="shared" si="0"/>
        <v>-1.7320508075688772</v>
      </c>
      <c r="G15">
        <v>0</v>
      </c>
    </row>
    <row r="16" spans="1:7" x14ac:dyDescent="0.25">
      <c r="A16">
        <v>12</v>
      </c>
      <c r="B16">
        <f>SQRT(16 - A16)</f>
        <v>2</v>
      </c>
      <c r="C16">
        <v>0</v>
      </c>
      <c r="E16">
        <v>14</v>
      </c>
      <c r="F16">
        <f t="shared" si="0"/>
        <v>-1.4142135623730951</v>
      </c>
      <c r="G16">
        <v>0</v>
      </c>
    </row>
    <row r="17" spans="1:7" x14ac:dyDescent="0.25">
      <c r="A17">
        <v>13</v>
      </c>
      <c r="B17">
        <f>SQRT(16 - A17)</f>
        <v>1.7320508075688772</v>
      </c>
      <c r="C17">
        <v>0</v>
      </c>
      <c r="E17">
        <v>15</v>
      </c>
      <c r="F17">
        <f t="shared" si="0"/>
        <v>-1</v>
      </c>
      <c r="G17">
        <v>0</v>
      </c>
    </row>
    <row r="18" spans="1:7" x14ac:dyDescent="0.25">
      <c r="A18">
        <v>14</v>
      </c>
      <c r="B18">
        <f>SQRT(16 - A18)</f>
        <v>1.4142135623730951</v>
      </c>
      <c r="C18">
        <v>0</v>
      </c>
      <c r="E18">
        <v>16</v>
      </c>
      <c r="F18">
        <f t="shared" si="0"/>
        <v>0</v>
      </c>
      <c r="G18">
        <v>0</v>
      </c>
    </row>
    <row r="19" spans="1:7" x14ac:dyDescent="0.25">
      <c r="A19">
        <v>15</v>
      </c>
      <c r="B19">
        <f>SQRT(16 - A19)</f>
        <v>1</v>
      </c>
      <c r="C19">
        <v>0</v>
      </c>
    </row>
    <row r="20" spans="1:7" x14ac:dyDescent="0.25">
      <c r="A20">
        <v>16</v>
      </c>
      <c r="B20">
        <f>SQRT(16 - A20)</f>
        <v>0</v>
      </c>
      <c r="C2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2026-02-03T08:04:46Z</dcterms:created>
  <dcterms:modified xsi:type="dcterms:W3CDTF">2026-02-24T07:52:46Z</dcterms:modified>
</cp:coreProperties>
</file>